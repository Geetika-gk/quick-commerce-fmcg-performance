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ison" sheetId="1" r:id="rId4"/>
    <sheet state="visible" name="Dabur" sheetId="2" r:id="rId5"/>
    <sheet state="visible" name="Marico" sheetId="3" r:id="rId6"/>
    <sheet state="visible" name="HUL" sheetId="4" r:id="rId7"/>
    <sheet state="visible" name="Charts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Corrected to owners'-only figure per data dictionary 2.1 (was previously total consolidated profit incl. non-controlling interest). Source: 'Net profit attributable to: Owners of the Holding Company' line, each year's Consol P&amp;L.</t>
      </text>
    </comment>
    <comment authorId="0" ref="A11">
      <text>
        <t xml:space="preserve">PBEIT (Profit before Exceptional Items &amp; Tax), per methodology 2.2. FY20: Consol P&amp;L, 'Profit before exceptional items and tax' line = 1,827.64 (vs reported PBT 1,727.64; exceptional item -100.00). FY22: PBEIT = 2,353.68 (vs reported PBT 2,268.68; exceptional item -85.00). Other years: PBEIT = PBT (no exceptional items).</t>
      </text>
    </comment>
    <comment authorId="0" ref="B27">
      <text>
        <t xml:space="preserve">Not calculable for FY19: DIO/DSO/DPO/CCC/ROCE/ROA are average-balance metrics (opening + closing ÷ 2, per methodology 2.2) and require an FY18 opening balance, which is outside this dataset's source period (FY2020-FY2025 study window; FY19 figures are included only as the opening balance for FY2020's averages). This is a data-availability limit, not an oversight — FY19 was never part of the study window.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CORRECTED: earlier data for this column was Marico STANDALONE (not consolidated) financials, mistakenly used as if consolidated. Replaced with actual Consolidated FY2025 P&amp;L and Balance Sheet (Revenue from operations 10,831; Total income 11,039; Profit before tax 2,116 -- no separate exceptional items line, so PBEIT = PBT; Profit for the year 1,658 total, Owners 1,629, NCI 29; Total Assets 8,338; Total Current Liabilities 2,461; Trade Payables = 89 MSME + 1,274 others).</t>
      </text>
    </comment>
    <comment authorId="0" ref="A12">
      <text>
        <t xml:space="preserve">Corrected to owners'-only figure per data dictionary 2.1 (was previously total consolidated profit incl. non-controlling interest) for FY19-FY24. FY25: no NCI line reported in Marico's FY25 statements, so total = owners' figure already; no change needed. Source: 'Net Profit attributable to: Owners' line, each year's Consol P&amp;L.</t>
      </text>
    </comment>
    <comment authorId="0" ref="A11">
      <text>
        <t xml:space="preserve">PBEIT (Profit before Exceptional Items &amp; Tax), per methodology 2.2. FY20: Consol P&amp;L 'Profit before exceptional items and tax' = 1,403 (vs reported PBT 1,374; exceptional item -29). FY21: PBEIT = 1,510 (vs reported PBT 1,523; exceptional item +13, a gain). Other years: PBEIT = PBT (no exceptional items).</t>
      </text>
    </comment>
    <comment authorId="0" ref="B27">
      <text>
        <t xml:space="preserve">Not calculable for FY19: DIO/DSO/DPO/CCC/ROCE/ROA are average-balance metrics (opening + closing ÷ 2, per methodology 2.2) and require an FY18 opening balance, which is outside this dataset's source period (FY2020-FY2025 study window; FY19 figures are included only as the opening balance for FY2020's averages). This is a data-availability limit, not an oversight — FY19 was never part of the study window.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Corrected to owners'-only figure per data dictionary 2.1 (was previously total consolidated profit incl. non-controlling interest). Source: 'Profit attributable to: Owners of the Company/Holding Company' line, each year's Consol P&amp;L (continuation page).</t>
      </text>
    </comment>
    <comment authorId="0" ref="A11">
      <text>
        <t xml:space="preserve">PBEIT (Profit before Exceptional Items &amp; Tax), per methodology 2.2. FY20 PBEIT=9,373 (PBT 9,173; excpt -200). FY21 PBEIT=10,717 (PBT 10,490; excpt -227) - sourced standalone, consistent with rest of FY21 row in this dataset. FY22 PBEIT=11,918 (PBT 11,874; excpt -44). FY23 PBEIT=13,409 (PBT 13,345; excpt -64). FY24 PBEIT=13,920 (PBT 13,926; excpt +6, a gain). FY25 PBEIT=14,110 (PBT 14,415; excpt +305, a large gain) - this is the biggest correction: using reported PBT here would have overstated FY25 EBITDA/EBIT/ROCE.</t>
      </text>
    </comment>
    <comment authorId="0" ref="B27">
      <text>
        <t xml:space="preserve">Not calculable for FY19: DIO/DSO/DPO/CCC/ROCE/ROA are average-balance metrics (opening + closing ÷ 2, per methodology 2.2) and require an FY18 opening balance, which is outside this dataset's source period (FY2020-FY2025 study window; FY19 figures are included only as the opening balance for FY2020's averages). This is a data-availability limit, not an oversight — FY19 was never part of the study window.</t>
      </text>
    </comment>
  </commentList>
</comments>
</file>

<file path=xl/sharedStrings.xml><?xml version="1.0" encoding="utf-8"?>
<sst xmlns="http://schemas.openxmlformats.org/spreadsheetml/2006/main" count="290" uniqueCount="68">
  <si>
    <t>Quick-Commerce &amp; FMCG Financial Performance — Cross-Company Comparison</t>
  </si>
  <si>
    <t>Marico, Dabur, HUL | FY2020–FY2025 (FY2019 excluded — outside study window; used only as FY20 opening balance in source sheets)</t>
  </si>
  <si>
    <t>1. Full Time Series (FY2020–FY2025)</t>
  </si>
  <si>
    <t>Metric</t>
  </si>
  <si>
    <t>Company</t>
  </si>
  <si>
    <t>FY20</t>
  </si>
  <si>
    <t>FY21</t>
  </si>
  <si>
    <t>FY22</t>
  </si>
  <si>
    <t>FY23</t>
  </si>
  <si>
    <t>FY24</t>
  </si>
  <si>
    <t>FY25</t>
  </si>
  <si>
    <t>DIO (days)</t>
  </si>
  <si>
    <t>Marico</t>
  </si>
  <si>
    <t>Dabur</t>
  </si>
  <si>
    <t>HUL</t>
  </si>
  <si>
    <t>DSO (days)</t>
  </si>
  <si>
    <t>DPO (days)</t>
  </si>
  <si>
    <t>CCC (days)</t>
  </si>
  <si>
    <t>Gross Margin %</t>
  </si>
  <si>
    <t>EBITDA Margin %</t>
  </si>
  <si>
    <t>Net Margin %</t>
  </si>
  <si>
    <t>ROCE %</t>
  </si>
  <si>
    <t>ROA %</t>
  </si>
  <si>
    <t>Revenue Growth %</t>
  </si>
  <si>
    <t>2. Pre-Period (FY20–22) vs Post-Period (FY24–25) Averages — Primary Comparison</t>
  </si>
  <si>
    <t>Pre-Period Avg (FY20-22)</t>
  </si>
  <si>
    <t>FY23 (Transition, shown separately)</t>
  </si>
  <si>
    <t>Post-Period Avg (FY24-25)</t>
  </si>
  <si>
    <t>Abs. Change (Post - Pre)</t>
  </si>
  <si>
    <t>% Change</t>
  </si>
  <si>
    <t>Sensitivity: Post Avg incl. FY23 (FY23-25)</t>
  </si>
  <si>
    <t>Sensitivity % Change</t>
  </si>
  <si>
    <t>Dabur — Financial Data (₹ Crores, Consolidated)</t>
  </si>
  <si>
    <t>Line Item</t>
  </si>
  <si>
    <t>FY19</t>
  </si>
  <si>
    <t>Revenue</t>
  </si>
  <si>
    <t>Other income</t>
  </si>
  <si>
    <t>Cost of materials consumed</t>
  </si>
  <si>
    <t>Purchases of stock-in-trade</t>
  </si>
  <si>
    <t>Changes in inventories</t>
  </si>
  <si>
    <t>Finance costs</t>
  </si>
  <si>
    <t>D&amp;A</t>
  </si>
  <si>
    <t>PBEIT (Profit before Exceptional Items &amp; Tax)</t>
  </si>
  <si>
    <t>Net Profit (attributable to Owners)</t>
  </si>
  <si>
    <t>Inventory</t>
  </si>
  <si>
    <t>Trade Receivables</t>
  </si>
  <si>
    <t>Trade Payables</t>
  </si>
  <si>
    <t>Total Assets</t>
  </si>
  <si>
    <t>Total Current Liabilities</t>
  </si>
  <si>
    <t>PBT (reported, for reference only — not used in derived metrics)</t>
  </si>
  <si>
    <t>Derived (calculated)</t>
  </si>
  <si>
    <t>COGS</t>
  </si>
  <si>
    <t>Gross Profit</t>
  </si>
  <si>
    <t>EBITDA</t>
  </si>
  <si>
    <t>EBIT</t>
  </si>
  <si>
    <t>Capital Employed</t>
  </si>
  <si>
    <t>Ratios &amp; Metrics</t>
  </si>
  <si>
    <t>N/A</t>
  </si>
  <si>
    <t>Marico — Financial Data (₹ Crores, Consolidated)</t>
  </si>
  <si>
    <t>HUL — Financial Data (₹ Crores, Consolidated)</t>
  </si>
  <si>
    <t>Chart Compendium — Quick-Commerce &amp; FMCG Financial Performance (Marico · Dabur · HUL, FY2020–FY2025)</t>
  </si>
  <si>
    <t>All six analysis charts compiled below. Source data: Comparison / Marico / Dabur / HUL sheets.</t>
  </si>
  <si>
    <t>Chart 1 — Working Capital Cycle: DIO, DSO, DPO (lines) &amp; CCC (bars), FY2020–FY2025</t>
  </si>
  <si>
    <t>Chart 2 — Cash Conversion Cycle Across Companies, FY2020–FY2025</t>
  </si>
  <si>
    <t>Chart 3 — Profitability Margin Trends (Gross / EBITDA / Net), FY2020–FY2025</t>
  </si>
  <si>
    <t>Chart 4 — Return Metrics: ROCE &amp; ROA, FY2020–FY2025</t>
  </si>
  <si>
    <t>Chart 5 — Pre-Period vs Post-Period Averages (FY23 excluded)</t>
  </si>
  <si>
    <t>Chart 6 — Revenue Growth (YoY %), FY2020–FY2025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</si>
</sst>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17">
    <font>
      <sz val="11.0"/>
      <color/>
      <name val="Arial"/>
      <scheme val="minor"/>
    </font>
    <font>
      <b/>
      <sz val="14.0"/>
      <name val="Cambria"/>
    </font>
    <font>
      <i/>
      <sz val="10.0"/>
      <color rgb="FF555555"/>
      <name val="Cambria"/>
    </font>
    <font>
      <b/>
      <sz val="12.0"/>
      <name val="Cambria"/>
    </font>
    <font>
      <b/>
      <sz val="11.0"/>
      <color rgb="FFFFFFFF"/>
      <name val="Cambria"/>
    </font>
    <font>
      <sz val="11.0"/>
      <color/>
      <name val="Calibri"/>
    </font>
    <font>
      <b/>
      <sz val="14.0"/>
      <color rgb="FF2E5F4F"/>
      <name val="Arial"/>
    </font>
    <font>
      <b/>
      <sz val="11.0"/>
      <color rgb="FFFFFFFF"/>
      <name val="Arial"/>
    </font>
    <font>
      <b/>
      <sz val="10.0"/>
      <name val="Arial"/>
    </font>
    <font>
      <sz val="10.0"/>
      <color rgb="FF000000"/>
      <name val="Arial"/>
    </font>
    <font>
      <sz val="11.0"/>
      <color rgb="FF000000"/>
      <name val="Arial"/>
    </font>
    <font>
      <b/>
      <i/>
      <sz val="10.0"/>
      <name val="Arial"/>
    </font>
    <font>
      <sz val="10.0"/>
      <name val="Arial"/>
    </font>
    <font>
      <sz val="11.0"/>
      <name val="Calibri"/>
    </font>
    <font>
      <b/>
      <sz val="14.0"/>
      <name val="Arial"/>
    </font>
    <font>
      <i/>
      <sz val="10.0"/>
      <color rgb="FF555555"/>
      <name val="Arial"/>
    </font>
    <font>
      <b/>
      <sz val="12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5F4F"/>
        <bgColor rgb="FF2E5F4F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1" fillId="0" fontId="5" numFmtId="0" xfId="0" applyBorder="1" applyFont="1"/>
    <xf borderId="1" fillId="0" fontId="5" numFmtId="164" xfId="0" applyBorder="1" applyFont="1" applyNumberFormat="1"/>
    <xf borderId="1" fillId="0" fontId="5" numFmtId="165" xfId="0" applyBorder="1" applyFont="1" applyNumberFormat="1"/>
    <xf borderId="1" fillId="2" fontId="4" numFmtId="0" xfId="0" applyAlignment="1" applyBorder="1" applyFont="1">
      <alignment horizontal="center" shrinkToFit="0" wrapText="1"/>
    </xf>
    <xf borderId="0" fillId="0" fontId="6" numFmtId="0" xfId="0" applyFont="1"/>
    <xf borderId="2" fillId="3" fontId="7" numFmtId="0" xfId="0" applyAlignment="1" applyBorder="1" applyFill="1" applyFont="1">
      <alignment horizontal="center" vertical="center"/>
    </xf>
    <xf borderId="2" fillId="4" fontId="8" numFmtId="0" xfId="0" applyBorder="1" applyFill="1" applyFont="1"/>
    <xf borderId="0" fillId="0" fontId="9" numFmtId="4" xfId="0" applyAlignment="1" applyFont="1" applyNumberFormat="1">
      <alignment horizontal="right"/>
    </xf>
    <xf borderId="0" fillId="0" fontId="10" numFmtId="0" xfId="0" applyFont="1"/>
    <xf borderId="0" fillId="0" fontId="11" numFmtId="0" xfId="0" applyFont="1"/>
    <xf borderId="2" fillId="5" fontId="12" numFmtId="4" xfId="0" applyAlignment="1" applyBorder="1" applyFill="1" applyFont="1" applyNumberFormat="1">
      <alignment horizontal="right"/>
    </xf>
    <xf borderId="0" fillId="0" fontId="8" numFmtId="164" xfId="0" applyAlignment="1" applyFont="1" applyNumberFormat="1">
      <alignment horizontal="right"/>
    </xf>
    <xf borderId="0" fillId="0" fontId="8" numFmtId="165" xfId="0" applyAlignment="1" applyFont="1" applyNumberFormat="1">
      <alignment horizontal="right"/>
    </xf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4</xdr:row>
      <xdr:rowOff>0</xdr:rowOff>
    </xdr:from>
    <xdr:ext cx="9791700" cy="3467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190500</xdr:rowOff>
    </xdr:from>
    <xdr:ext cx="9791700" cy="5534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190500</xdr:rowOff>
    </xdr:from>
    <xdr:ext cx="9791700" cy="34004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9791700" cy="42195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</xdr:row>
      <xdr:rowOff>0</xdr:rowOff>
    </xdr:from>
    <xdr:ext cx="9791700" cy="581977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146</xdr:row>
      <xdr:rowOff>0</xdr:rowOff>
    </xdr:from>
    <xdr:ext cx="9791700" cy="49149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22.0"/>
    <col customWidth="1" min="2" max="2" width="10.0"/>
    <col customWidth="1" min="3" max="5" width="22.0"/>
    <col customWidth="1" min="6" max="6" width="20.0"/>
    <col customWidth="1" min="7" max="7" width="12.0"/>
    <col customWidth="1" min="8" max="8" width="26.0"/>
    <col customWidth="1" min="9" max="9" width="16.0"/>
    <col customWidth="1" min="10" max="11" width="8.57"/>
  </cols>
  <sheetData>
    <row r="1" ht="17.25" customHeight="1">
      <c r="A1" s="1" t="s">
        <v>0</v>
      </c>
    </row>
    <row r="2" ht="15.0" customHeight="1">
      <c r="A2" s="2" t="s">
        <v>1</v>
      </c>
    </row>
    <row r="3" ht="14.25" customHeight="1"/>
    <row r="4" ht="15.0" customHeight="1">
      <c r="A4" s="3" t="s">
        <v>2</v>
      </c>
    </row>
    <row r="5" ht="15.0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ht="15.0" customHeight="1">
      <c r="A6" s="5" t="s">
        <v>11</v>
      </c>
      <c r="B6" s="5" t="s">
        <v>12</v>
      </c>
      <c r="C6" s="6" t="str">
        <f>Marico!C27</f>
        <v>136.0</v>
      </c>
      <c r="D6" s="6" t="str">
        <f>Marico!D27</f>
        <v>107.1</v>
      </c>
      <c r="E6" s="6" t="str">
        <f>Marico!E27</f>
        <v>85.2</v>
      </c>
      <c r="F6" s="6" t="str">
        <f>Marico!F27</f>
        <v>89.9</v>
      </c>
      <c r="G6" s="6" t="str">
        <f>Marico!G27</f>
        <v>98.4</v>
      </c>
      <c r="H6" s="6" t="str">
        <f>Marico!H27</f>
        <v>87.1</v>
      </c>
    </row>
    <row r="7" ht="15.0" customHeight="1">
      <c r="A7" s="5" t="s">
        <v>11</v>
      </c>
      <c r="B7" s="5" t="s">
        <v>13</v>
      </c>
      <c r="C7" s="6" t="str">
        <f>Dabur!C27</f>
        <v>112.7</v>
      </c>
      <c r="D7" s="6" t="str">
        <f>Dabur!D27</f>
        <v>119.0</v>
      </c>
      <c r="E7" s="6" t="str">
        <f>Dabur!E27</f>
        <v>118.0</v>
      </c>
      <c r="F7" s="6" t="str">
        <f>Dabur!F27</f>
        <v>114.6</v>
      </c>
      <c r="G7" s="6" t="str">
        <f>Dabur!G27</f>
        <v>112.4</v>
      </c>
      <c r="H7" s="6" t="str">
        <f>Dabur!H27</f>
        <v>118.6</v>
      </c>
    </row>
    <row r="8" ht="15.0" customHeight="1">
      <c r="A8" s="5" t="s">
        <v>11</v>
      </c>
      <c r="B8" s="5" t="s">
        <v>14</v>
      </c>
      <c r="C8" s="6" t="str">
        <f>HUL!C27</f>
        <v>53.4</v>
      </c>
      <c r="D8" s="6" t="str">
        <f>HUL!D27</f>
        <v>52.3</v>
      </c>
      <c r="E8" s="6" t="str">
        <f>HUL!E27</f>
        <v>54.4</v>
      </c>
      <c r="F8" s="6" t="str">
        <f>HUL!F27</f>
        <v>48.0</v>
      </c>
      <c r="G8" s="6" t="str">
        <f>HUL!G27</f>
        <v>50.7</v>
      </c>
      <c r="H8" s="6" t="str">
        <f>HUL!H27</f>
        <v>50.4</v>
      </c>
    </row>
    <row r="9" ht="14.25" customHeight="1"/>
    <row r="10" ht="15.0" customHeight="1">
      <c r="A10" s="5" t="s">
        <v>15</v>
      </c>
      <c r="B10" s="5" t="s">
        <v>12</v>
      </c>
      <c r="C10" s="6" t="str">
        <f>Marico!C28</f>
        <v>26.3</v>
      </c>
      <c r="D10" s="6" t="str">
        <f>Marico!D28</f>
        <v>21.0</v>
      </c>
      <c r="E10" s="6" t="str">
        <f>Marico!E28</f>
        <v>20.0</v>
      </c>
      <c r="F10" s="6" t="str">
        <f>Marico!F28</f>
        <v>31.2</v>
      </c>
      <c r="G10" s="6" t="str">
        <f>Marico!G28</f>
        <v>39.4</v>
      </c>
      <c r="H10" s="6" t="str">
        <f>Marico!H28</f>
        <v>39.4</v>
      </c>
    </row>
    <row r="11" ht="15.0" customHeight="1">
      <c r="A11" s="5" t="s">
        <v>15</v>
      </c>
      <c r="B11" s="5" t="s">
        <v>13</v>
      </c>
      <c r="C11" s="6" t="str">
        <f>Dabur!C28</f>
        <v>34.5</v>
      </c>
      <c r="D11" s="6" t="str">
        <f>Dabur!D28</f>
        <v>26.3</v>
      </c>
      <c r="E11" s="6" t="str">
        <f>Dabur!E28</f>
        <v>20.2</v>
      </c>
      <c r="F11" s="6" t="str">
        <f>Dabur!F28</f>
        <v>23.7</v>
      </c>
      <c r="G11" s="6" t="str">
        <f>Dabur!G28</f>
        <v>25.7</v>
      </c>
      <c r="H11" s="6" t="str">
        <f>Dabur!H28</f>
        <v>26.0</v>
      </c>
    </row>
    <row r="12" ht="15.0" customHeight="1">
      <c r="A12" s="5" t="s">
        <v>15</v>
      </c>
      <c r="B12" s="5" t="s">
        <v>14</v>
      </c>
      <c r="C12" s="6" t="str">
        <f>HUL!C28</f>
        <v>13.6</v>
      </c>
      <c r="D12" s="6" t="str">
        <f>HUL!D28</f>
        <v>11.3</v>
      </c>
      <c r="E12" s="6" t="str">
        <f>HUL!E28</f>
        <v>13.9</v>
      </c>
      <c r="F12" s="6" t="str">
        <f>HUL!F28</f>
        <v>16.0</v>
      </c>
      <c r="G12" s="6" t="str">
        <f>HUL!G28</f>
        <v>17.9</v>
      </c>
      <c r="H12" s="6" t="str">
        <f>HUL!H28</f>
        <v>19.7</v>
      </c>
    </row>
    <row r="13" ht="14.25" customHeight="1"/>
    <row r="14" ht="15.0" customHeight="1">
      <c r="A14" s="5" t="s">
        <v>16</v>
      </c>
      <c r="B14" s="5" t="s">
        <v>12</v>
      </c>
      <c r="C14" s="6" t="str">
        <f>Marico!C29</f>
        <v>93.7</v>
      </c>
      <c r="D14" s="6" t="str">
        <f>Marico!D29</f>
        <v>90.3</v>
      </c>
      <c r="E14" s="6" t="str">
        <f>Marico!E29</f>
        <v>83.2</v>
      </c>
      <c r="F14" s="6" t="str">
        <f>Marico!F29</f>
        <v>95.4</v>
      </c>
      <c r="G14" s="6" t="str">
        <f>Marico!G29</f>
        <v>116.6</v>
      </c>
      <c r="H14" s="6" t="str">
        <f>Marico!H29</f>
        <v>99.7</v>
      </c>
    </row>
    <row r="15" ht="15.0" customHeight="1">
      <c r="A15" s="5" t="s">
        <v>16</v>
      </c>
      <c r="B15" s="5" t="s">
        <v>13</v>
      </c>
      <c r="C15" s="6" t="str">
        <f>Dabur!C29</f>
        <v>123.5</v>
      </c>
      <c r="D15" s="6" t="str">
        <f>Dabur!D29</f>
        <v>129.9</v>
      </c>
      <c r="E15" s="6" t="str">
        <f>Dabur!E29</f>
        <v>127.3</v>
      </c>
      <c r="F15" s="6" t="str">
        <f>Dabur!F29</f>
        <v>122.4</v>
      </c>
      <c r="G15" s="6" t="str">
        <f>Dabur!G29</f>
        <v>130.5</v>
      </c>
      <c r="H15" s="6" t="str">
        <f>Dabur!H29</f>
        <v>146.5</v>
      </c>
    </row>
    <row r="16" ht="15.0" customHeight="1">
      <c r="A16" s="5" t="s">
        <v>16</v>
      </c>
      <c r="B16" s="5" t="s">
        <v>14</v>
      </c>
      <c r="C16" s="6" t="str">
        <f>HUL!C29</f>
        <v>147.3</v>
      </c>
      <c r="D16" s="6" t="str">
        <f>HUL!D29</f>
        <v>134.6</v>
      </c>
      <c r="E16" s="6" t="str">
        <f>HUL!E29</f>
        <v>126.7</v>
      </c>
      <c r="F16" s="6" t="str">
        <f>HUL!F29</f>
        <v>107.3</v>
      </c>
      <c r="G16" s="6" t="str">
        <f>HUL!G29</f>
        <v>123.0</v>
      </c>
      <c r="H16" s="6" t="str">
        <f>HUL!H29</f>
        <v>130.1</v>
      </c>
    </row>
    <row r="17" ht="14.25" customHeight="1"/>
    <row r="18" ht="15.0" customHeight="1">
      <c r="A18" s="5" t="s">
        <v>17</v>
      </c>
      <c r="B18" s="5" t="s">
        <v>12</v>
      </c>
      <c r="C18" s="6" t="str">
        <f>Marico!C30</f>
        <v>68.7</v>
      </c>
      <c r="D18" s="6" t="str">
        <f>Marico!D30</f>
        <v>37.9</v>
      </c>
      <c r="E18" s="6" t="str">
        <f>Marico!E30</f>
        <v>22.0</v>
      </c>
      <c r="F18" s="6" t="str">
        <f>Marico!F30</f>
        <v>25.7</v>
      </c>
      <c r="G18" s="6" t="str">
        <f>Marico!G30</f>
        <v>21.3</v>
      </c>
      <c r="H18" s="6" t="str">
        <f>Marico!H30</f>
        <v>26.8</v>
      </c>
    </row>
    <row r="19" ht="15.0" customHeight="1">
      <c r="A19" s="5" t="s">
        <v>17</v>
      </c>
      <c r="B19" s="5" t="s">
        <v>13</v>
      </c>
      <c r="C19" s="6" t="str">
        <f>Dabur!C30</f>
        <v>23.7</v>
      </c>
      <c r="D19" s="6" t="str">
        <f>Dabur!D30</f>
        <v>15.4</v>
      </c>
      <c r="E19" s="6" t="str">
        <f>Dabur!E30</f>
        <v>10.9</v>
      </c>
      <c r="F19" s="6" t="str">
        <f>Dabur!F30</f>
        <v>15.8</v>
      </c>
      <c r="G19" s="6" t="str">
        <f>Dabur!G30</f>
        <v>7.7</v>
      </c>
      <c r="H19" s="6" t="str">
        <f>Dabur!H30</f>
        <v>-2.0</v>
      </c>
    </row>
    <row r="20" ht="15.0" customHeight="1">
      <c r="A20" s="5" t="s">
        <v>17</v>
      </c>
      <c r="B20" s="5" t="s">
        <v>14</v>
      </c>
      <c r="C20" s="6" t="str">
        <f>HUL!C30</f>
        <v>-80.4</v>
      </c>
      <c r="D20" s="6" t="str">
        <f>HUL!D30</f>
        <v>-71.0</v>
      </c>
      <c r="E20" s="6" t="str">
        <f>HUL!E30</f>
        <v>-58.4</v>
      </c>
      <c r="F20" s="6" t="str">
        <f>HUL!F30</f>
        <v>-43.2</v>
      </c>
      <c r="G20" s="6" t="str">
        <f>HUL!G30</f>
        <v>-54.4</v>
      </c>
      <c r="H20" s="6" t="str">
        <f>HUL!H30</f>
        <v>-60.1</v>
      </c>
    </row>
    <row r="21" ht="14.25" customHeight="1"/>
    <row r="22" ht="15.0" customHeight="1">
      <c r="A22" s="5" t="s">
        <v>18</v>
      </c>
      <c r="B22" s="5" t="s">
        <v>12</v>
      </c>
      <c r="C22" s="7" t="str">
        <f>Marico!C31</f>
        <v>48.8%</v>
      </c>
      <c r="D22" s="7" t="str">
        <f>Marico!D31</f>
        <v>46.9%</v>
      </c>
      <c r="E22" s="7" t="str">
        <f>Marico!E31</f>
        <v>42.9%</v>
      </c>
      <c r="F22" s="7" t="str">
        <f>Marico!F31</f>
        <v>45.2%</v>
      </c>
      <c r="G22" s="7" t="str">
        <f>Marico!G31</f>
        <v>50.8%</v>
      </c>
      <c r="H22" s="7" t="str">
        <f>Marico!H31</f>
        <v>50.3%</v>
      </c>
    </row>
    <row r="23" ht="15.0" customHeight="1">
      <c r="A23" s="5" t="s">
        <v>18</v>
      </c>
      <c r="B23" s="5" t="s">
        <v>13</v>
      </c>
      <c r="C23" s="7" t="str">
        <f>Dabur!C31</f>
        <v>50.1%</v>
      </c>
      <c r="D23" s="7" t="str">
        <f>Dabur!D31</f>
        <v>50.1%</v>
      </c>
      <c r="E23" s="7" t="str">
        <f>Dabur!E31</f>
        <v>48.2%</v>
      </c>
      <c r="F23" s="7" t="str">
        <f>Dabur!F31</f>
        <v>45.6%</v>
      </c>
      <c r="G23" s="7" t="str">
        <f>Dabur!G31</f>
        <v>48.0%</v>
      </c>
      <c r="H23" s="7" t="str">
        <f>Dabur!H31</f>
        <v>48.0%</v>
      </c>
    </row>
    <row r="24" ht="15.0" customHeight="1">
      <c r="A24" s="5" t="s">
        <v>18</v>
      </c>
      <c r="B24" s="5" t="s">
        <v>14</v>
      </c>
      <c r="C24" s="7" t="str">
        <f>HUL!C31</f>
        <v>54.1%</v>
      </c>
      <c r="D24" s="7" t="str">
        <f>HUL!D31</f>
        <v>52.9%</v>
      </c>
      <c r="E24" s="7" t="str">
        <f>HUL!E31</f>
        <v>50.9%</v>
      </c>
      <c r="F24" s="7" t="str">
        <f>HUL!F31</f>
        <v>47.6%</v>
      </c>
      <c r="G24" s="7" t="str">
        <f>HUL!G31</f>
        <v>51.9%</v>
      </c>
      <c r="H24" s="7" t="str">
        <f>HUL!H31</f>
        <v>51.6%</v>
      </c>
    </row>
    <row r="25" ht="14.25" customHeight="1"/>
    <row r="26" ht="15.0" customHeight="1">
      <c r="A26" s="5" t="s">
        <v>19</v>
      </c>
      <c r="B26" s="5" t="s">
        <v>12</v>
      </c>
      <c r="C26" s="7" t="str">
        <f>Marico!C32</f>
        <v>20.1%</v>
      </c>
      <c r="D26" s="7" t="str">
        <f>Marico!D32</f>
        <v>19.7%</v>
      </c>
      <c r="E26" s="7" t="str">
        <f>Marico!E32</f>
        <v>17.7%</v>
      </c>
      <c r="F26" s="7" t="str">
        <f>Marico!F32</f>
        <v>18.5%</v>
      </c>
      <c r="G26" s="7" t="str">
        <f>Marico!G32</f>
        <v>21.0%</v>
      </c>
      <c r="H26" s="7" t="str">
        <f>Marico!H32</f>
        <v>19.7%</v>
      </c>
    </row>
    <row r="27" ht="15.0" customHeight="1">
      <c r="A27" s="5" t="s">
        <v>19</v>
      </c>
      <c r="B27" s="5" t="s">
        <v>13</v>
      </c>
      <c r="C27" s="7" t="str">
        <f>Dabur!C32</f>
        <v>20.6%</v>
      </c>
      <c r="D27" s="7" t="str">
        <f>Dabur!D32</f>
        <v>20.9%</v>
      </c>
      <c r="E27" s="7" t="str">
        <f>Dabur!E32</f>
        <v>20.7%</v>
      </c>
      <c r="F27" s="7" t="str">
        <f>Dabur!F32</f>
        <v>18.8%</v>
      </c>
      <c r="G27" s="7" t="str">
        <f>Dabur!G32</f>
        <v>19.3%</v>
      </c>
      <c r="H27" s="7" t="str">
        <f>Dabur!H32</f>
        <v>18.4%</v>
      </c>
    </row>
    <row r="28" ht="15.0" customHeight="1">
      <c r="A28" s="5" t="s">
        <v>19</v>
      </c>
      <c r="B28" s="5" t="s">
        <v>14</v>
      </c>
      <c r="C28" s="7" t="str">
        <f>HUL!C32</f>
        <v>24.8%</v>
      </c>
      <c r="D28" s="7" t="str">
        <f>HUL!D32</f>
        <v>24.7%</v>
      </c>
      <c r="E28" s="7" t="str">
        <f>HUL!E32</f>
        <v>24.5%</v>
      </c>
      <c r="F28" s="7" t="str">
        <f>HUL!F32</f>
        <v>23.4%</v>
      </c>
      <c r="G28" s="7" t="str">
        <f>HUL!G32</f>
        <v>23.7%</v>
      </c>
      <c r="H28" s="7" t="str">
        <f>HUL!H32</f>
        <v>23.5%</v>
      </c>
    </row>
    <row r="29" ht="14.25" customHeight="1"/>
    <row r="30" ht="15.0" customHeight="1">
      <c r="A30" s="5" t="s">
        <v>20</v>
      </c>
      <c r="B30" s="5" t="s">
        <v>12</v>
      </c>
      <c r="C30" s="7" t="str">
        <f>Marico!C33</f>
        <v>14.0%</v>
      </c>
      <c r="D30" s="7" t="str">
        <f>Marico!D33</f>
        <v>14.6%</v>
      </c>
      <c r="E30" s="7" t="str">
        <f>Marico!E33</f>
        <v>12.9%</v>
      </c>
      <c r="F30" s="7" t="str">
        <f>Marico!F33</f>
        <v>13.3%</v>
      </c>
      <c r="G30" s="7" t="str">
        <f>Marico!G33</f>
        <v>15.3%</v>
      </c>
      <c r="H30" s="7" t="str">
        <f>Marico!H33</f>
        <v>15.0%</v>
      </c>
    </row>
    <row r="31" ht="15.0" customHeight="1">
      <c r="A31" s="5" t="s">
        <v>20</v>
      </c>
      <c r="B31" s="5" t="s">
        <v>13</v>
      </c>
      <c r="C31" s="7" t="str">
        <f>Dabur!C33</f>
        <v>16.6%</v>
      </c>
      <c r="D31" s="7" t="str">
        <f>Dabur!D33</f>
        <v>17.7%</v>
      </c>
      <c r="E31" s="7" t="str">
        <f>Dabur!E33</f>
        <v>16.0%</v>
      </c>
      <c r="F31" s="7" t="str">
        <f>Dabur!F33</f>
        <v>14.8%</v>
      </c>
      <c r="G31" s="7" t="str">
        <f>Dabur!G33</f>
        <v>14.9%</v>
      </c>
      <c r="H31" s="7" t="str">
        <f>Dabur!H33</f>
        <v>14.1%</v>
      </c>
    </row>
    <row r="32" ht="15.0" customHeight="1">
      <c r="A32" s="5" t="s">
        <v>20</v>
      </c>
      <c r="B32" s="5" t="s">
        <v>14</v>
      </c>
      <c r="C32" s="7" t="str">
        <f>HUL!C33</f>
        <v>17.0%</v>
      </c>
      <c r="D32" s="7" t="str">
        <f>HUL!D33</f>
        <v>17.0%</v>
      </c>
      <c r="E32" s="7" t="str">
        <f>HUL!E33</f>
        <v>16.9%</v>
      </c>
      <c r="F32" s="7" t="str">
        <f>HUL!F33</f>
        <v>16.7%</v>
      </c>
      <c r="G32" s="7" t="str">
        <f>HUL!G33</f>
        <v>16.6%</v>
      </c>
      <c r="H32" s="7" t="str">
        <f>HUL!H33</f>
        <v>16.9%</v>
      </c>
    </row>
    <row r="33" ht="14.25" customHeight="1"/>
    <row r="34" ht="15.0" customHeight="1">
      <c r="A34" s="5" t="s">
        <v>21</v>
      </c>
      <c r="B34" s="5" t="s">
        <v>12</v>
      </c>
      <c r="C34" s="7" t="str">
        <f>Marico!C34</f>
        <v>42.4%</v>
      </c>
      <c r="D34" s="7" t="str">
        <f>Marico!D34</f>
        <v>43.2%</v>
      </c>
      <c r="E34" s="7" t="str">
        <f>Marico!E34</f>
        <v>43.3%</v>
      </c>
      <c r="F34" s="7" t="str">
        <f>Marico!F34</f>
        <v>40.6%</v>
      </c>
      <c r="G34" s="7" t="str">
        <f>Marico!G34</f>
        <v>39.4%</v>
      </c>
      <c r="H34" s="7" t="str">
        <f>Marico!H34</f>
        <v>36.1%</v>
      </c>
    </row>
    <row r="35" ht="15.0" customHeight="1">
      <c r="A35" s="5" t="s">
        <v>21</v>
      </c>
      <c r="B35" s="5" t="s">
        <v>13</v>
      </c>
      <c r="C35" s="7" t="str">
        <f>Dabur!C34</f>
        <v>24.8%</v>
      </c>
      <c r="D35" s="7" t="str">
        <f>Dabur!D34</f>
        <v>23.8%</v>
      </c>
      <c r="E35" s="7" t="str">
        <f>Dabur!E34</f>
        <v>23.7%</v>
      </c>
      <c r="F35" s="7" t="str">
        <f>Dabur!F34</f>
        <v>19.5%</v>
      </c>
      <c r="G35" s="7" t="str">
        <f>Dabur!G34</f>
        <v>18.8%</v>
      </c>
      <c r="H35" s="7" t="str">
        <f>Dabur!H34</f>
        <v>16.2%</v>
      </c>
    </row>
    <row r="36" ht="15.0" customHeight="1">
      <c r="A36" s="5" t="s">
        <v>21</v>
      </c>
      <c r="B36" s="5" t="s">
        <v>14</v>
      </c>
      <c r="C36" s="7" t="str">
        <f>HUL!C34</f>
        <v>85.2%</v>
      </c>
      <c r="D36" s="7" t="str">
        <f>HUL!D34</f>
        <v>30.8%</v>
      </c>
      <c r="E36" s="7" t="str">
        <f>HUL!E34</f>
        <v>20.1%</v>
      </c>
      <c r="F36" s="7" t="str">
        <f>HUL!F34</f>
        <v>21.6%</v>
      </c>
      <c r="G36" s="7" t="str">
        <f>HUL!G34</f>
        <v>21.2%</v>
      </c>
      <c r="H36" s="7" t="str">
        <f>HUL!H34</f>
        <v>20.9%</v>
      </c>
    </row>
    <row r="37" ht="14.25" customHeight="1"/>
    <row r="38" ht="15.0" customHeight="1">
      <c r="A38" s="5" t="s">
        <v>22</v>
      </c>
      <c r="B38" s="5" t="s">
        <v>12</v>
      </c>
      <c r="C38" s="7" t="str">
        <f>Marico!C35</f>
        <v>21.0%</v>
      </c>
      <c r="D38" s="7" t="str">
        <f>Marico!D35</f>
        <v>22.3%</v>
      </c>
      <c r="E38" s="7" t="str">
        <f>Marico!E35</f>
        <v>21.7%</v>
      </c>
      <c r="F38" s="7" t="str">
        <f>Marico!F35</f>
        <v>20.5%</v>
      </c>
      <c r="G38" s="7" t="str">
        <f>Marico!G35</f>
        <v>20.6%</v>
      </c>
      <c r="H38" s="7" t="str">
        <f>Marico!H35</f>
        <v>20.7%</v>
      </c>
    </row>
    <row r="39" ht="15.0" customHeight="1">
      <c r="A39" s="5" t="s">
        <v>22</v>
      </c>
      <c r="B39" s="5" t="s">
        <v>13</v>
      </c>
      <c r="C39" s="7" t="str">
        <f>Dabur!C35</f>
        <v>16.2%</v>
      </c>
      <c r="D39" s="7" t="str">
        <f>Dabur!D35</f>
        <v>16.8%</v>
      </c>
      <c r="E39" s="7" t="str">
        <f>Dabur!E35</f>
        <v>15.0%</v>
      </c>
      <c r="F39" s="7" t="str">
        <f>Dabur!F35</f>
        <v>13.2%</v>
      </c>
      <c r="G39" s="7" t="str">
        <f>Dabur!G35</f>
        <v>12.8%</v>
      </c>
      <c r="H39" s="7" t="str">
        <f>Dabur!H35</f>
        <v>11.3%</v>
      </c>
    </row>
    <row r="40" ht="15.0" customHeight="1">
      <c r="A40" s="5" t="s">
        <v>22</v>
      </c>
      <c r="B40" s="5" t="s">
        <v>14</v>
      </c>
      <c r="C40" s="7" t="str">
        <f>HUL!C35</f>
        <v>34.8%</v>
      </c>
      <c r="D40" s="7" t="str">
        <f>HUL!D35</f>
        <v>18.0%</v>
      </c>
      <c r="E40" s="7" t="str">
        <f>HUL!E35</f>
        <v>12.8%</v>
      </c>
      <c r="F40" s="7" t="str">
        <f>HUL!F35</f>
        <v>14.1%</v>
      </c>
      <c r="G40" s="7" t="str">
        <f>HUL!G35</f>
        <v>13.6%</v>
      </c>
      <c r="H40" s="7" t="str">
        <f>HUL!H35</f>
        <v>13.4%</v>
      </c>
    </row>
    <row r="41" ht="14.25" customHeight="1"/>
    <row r="42" ht="15.0" customHeight="1">
      <c r="A42" s="5" t="s">
        <v>23</v>
      </c>
      <c r="B42" s="5" t="s">
        <v>12</v>
      </c>
      <c r="C42" s="7" t="str">
        <f>Marico!C36</f>
        <v>-0.3%</v>
      </c>
      <c r="D42" s="7" t="str">
        <f>Marico!D36</f>
        <v>10.0%</v>
      </c>
      <c r="E42" s="7" t="str">
        <f>Marico!E36</f>
        <v>18.2%</v>
      </c>
      <c r="F42" s="7" t="str">
        <f>Marico!F36</f>
        <v>2.6%</v>
      </c>
      <c r="G42" s="7" t="str">
        <f>Marico!G36</f>
        <v>-1.1%</v>
      </c>
      <c r="H42" s="7" t="str">
        <f>Marico!H36</f>
        <v>12.2%</v>
      </c>
    </row>
    <row r="43" ht="15.0" customHeight="1">
      <c r="A43" s="5" t="s">
        <v>23</v>
      </c>
      <c r="B43" s="5" t="s">
        <v>13</v>
      </c>
      <c r="C43" s="7" t="str">
        <f>Dabur!C36</f>
        <v>2.0%</v>
      </c>
      <c r="D43" s="7" t="str">
        <f>Dabur!D36</f>
        <v>9.9%</v>
      </c>
      <c r="E43" s="7" t="str">
        <f>Dabur!E36</f>
        <v>13.9%</v>
      </c>
      <c r="F43" s="7" t="str">
        <f>Dabur!F36</f>
        <v>5.9%</v>
      </c>
      <c r="G43" s="7" t="str">
        <f>Dabur!G36</f>
        <v>7.6%</v>
      </c>
      <c r="H43" s="7" t="str">
        <f>Dabur!H36</f>
        <v>1.3%</v>
      </c>
    </row>
    <row r="44" ht="15.0" customHeight="1">
      <c r="A44" s="5" t="s">
        <v>23</v>
      </c>
      <c r="B44" s="5" t="s">
        <v>14</v>
      </c>
      <c r="C44" s="7" t="str">
        <f>HUL!C36</f>
        <v>1.2%</v>
      </c>
      <c r="D44" s="7" t="str">
        <f>HUL!D36</f>
        <v>18.2%</v>
      </c>
      <c r="E44" s="7" t="str">
        <f>HUL!E36</f>
        <v>11.5%</v>
      </c>
      <c r="F44" s="7" t="str">
        <f>HUL!F36</f>
        <v>15.5%</v>
      </c>
      <c r="G44" s="7" t="str">
        <f>HUL!G36</f>
        <v>2.2%</v>
      </c>
      <c r="H44" s="7" t="str">
        <f>HUL!H36</f>
        <v>2.0%</v>
      </c>
    </row>
    <row r="45" ht="14.25" customHeight="1"/>
    <row r="46" ht="14.25" customHeight="1"/>
    <row r="47" ht="15.0" customHeight="1">
      <c r="A47" s="3" t="s">
        <v>24</v>
      </c>
    </row>
    <row r="48" ht="45.0" customHeight="1">
      <c r="A48" s="8" t="s">
        <v>3</v>
      </c>
      <c r="B48" s="8" t="s">
        <v>4</v>
      </c>
      <c r="C48" s="8" t="s">
        <v>25</v>
      </c>
      <c r="D48" s="8" t="s">
        <v>26</v>
      </c>
      <c r="E48" s="8" t="s">
        <v>27</v>
      </c>
      <c r="F48" s="8" t="s">
        <v>28</v>
      </c>
      <c r="G48" s="8" t="s">
        <v>29</v>
      </c>
      <c r="H48" s="8" t="s">
        <v>30</v>
      </c>
      <c r="I48" s="8" t="s">
        <v>31</v>
      </c>
    </row>
    <row r="49" ht="15.0" customHeight="1">
      <c r="A49" s="5" t="s">
        <v>11</v>
      </c>
      <c r="B49" s="5" t="s">
        <v>12</v>
      </c>
      <c r="C49" s="6" t="str">
        <f>AVERAGE(Marico!C27:E27)</f>
        <v>109.4</v>
      </c>
      <c r="D49" s="6" t="str">
        <f>Marico!F27</f>
        <v>89.9</v>
      </c>
      <c r="E49" s="6" t="str">
        <f>AVERAGE(Marico!G27:H27)</f>
        <v>92.8</v>
      </c>
      <c r="F49" s="6" t="str">
        <f t="shared" ref="F49:F51" si="1">E49-C49</f>
        <v>-16.7</v>
      </c>
      <c r="G49" s="7" t="str">
        <f t="shared" ref="G49:G51" si="2">IF(C49=0,"N/A",(E49-C49)/ABS(C49))</f>
        <v>-15.2%</v>
      </c>
      <c r="H49" s="6" t="str">
        <f>AVERAGE(Marico!F27:H27)</f>
        <v>91.8</v>
      </c>
      <c r="I49" s="7" t="str">
        <f t="shared" ref="I49:I51" si="3">IF(C49=0,"N/A",(H49-C49)/ABS(C49))</f>
        <v>-16.1%</v>
      </c>
    </row>
    <row r="50" ht="15.0" customHeight="1">
      <c r="A50" s="5" t="s">
        <v>11</v>
      </c>
      <c r="B50" s="5" t="s">
        <v>13</v>
      </c>
      <c r="C50" s="6" t="str">
        <f>AVERAGE(Dabur!C27:E27)</f>
        <v>116.6</v>
      </c>
      <c r="D50" s="6" t="str">
        <f>Dabur!F27</f>
        <v>114.6</v>
      </c>
      <c r="E50" s="6" t="str">
        <f>AVERAGE(Dabur!G27:H27)</f>
        <v>115.5</v>
      </c>
      <c r="F50" s="6" t="str">
        <f t="shared" si="1"/>
        <v>-1.0</v>
      </c>
      <c r="G50" s="7" t="str">
        <f t="shared" si="2"/>
        <v>-0.9%</v>
      </c>
      <c r="H50" s="6" t="str">
        <f>AVERAGE(Dabur!F27:H27)</f>
        <v>115.2</v>
      </c>
      <c r="I50" s="7" t="str">
        <f t="shared" si="3"/>
        <v>-1.2%</v>
      </c>
    </row>
    <row r="51" ht="15.0" customHeight="1">
      <c r="A51" s="5" t="s">
        <v>11</v>
      </c>
      <c r="B51" s="5" t="s">
        <v>14</v>
      </c>
      <c r="C51" s="6" t="str">
        <f>AVERAGE(HUL!C27:E27)</f>
        <v>53.4</v>
      </c>
      <c r="D51" s="6" t="str">
        <f>HUL!F27</f>
        <v>48.0</v>
      </c>
      <c r="E51" s="6" t="str">
        <f>AVERAGE(HUL!G27:H27)</f>
        <v>50.5</v>
      </c>
      <c r="F51" s="6" t="str">
        <f t="shared" si="1"/>
        <v>-2.8</v>
      </c>
      <c r="G51" s="7" t="str">
        <f t="shared" si="2"/>
        <v>-5.3%</v>
      </c>
      <c r="H51" s="6" t="str">
        <f>AVERAGE(HUL!F27:H27)</f>
        <v>49.7</v>
      </c>
      <c r="I51" s="7" t="str">
        <f t="shared" si="3"/>
        <v>-6.9%</v>
      </c>
    </row>
    <row r="52" ht="14.25" customHeight="1"/>
    <row r="53" ht="15.0" customHeight="1">
      <c r="A53" s="5" t="s">
        <v>15</v>
      </c>
      <c r="B53" s="5" t="s">
        <v>12</v>
      </c>
      <c r="C53" s="6" t="str">
        <f>AVERAGE(Marico!C28:E28)</f>
        <v>22.4</v>
      </c>
      <c r="D53" s="6" t="str">
        <f>Marico!F28</f>
        <v>31.2</v>
      </c>
      <c r="E53" s="6" t="str">
        <f>AVERAGE(Marico!G28:H28)</f>
        <v>39.4</v>
      </c>
      <c r="F53" s="6" t="str">
        <f t="shared" ref="F53:F55" si="4">E53-C53</f>
        <v>17.0</v>
      </c>
      <c r="G53" s="7" t="str">
        <f t="shared" ref="G53:G55" si="5">IF(C53=0,"N/A",(E53-C53)/ABS(C53))</f>
        <v>75.6%</v>
      </c>
      <c r="H53" s="6" t="str">
        <f>AVERAGE(Marico!F28:H28)</f>
        <v>36.7</v>
      </c>
      <c r="I53" s="7" t="str">
        <f t="shared" ref="I53:I55" si="6">IF(C53=0,"N/A",(H53-C53)/ABS(C53))</f>
        <v>63.4%</v>
      </c>
    </row>
    <row r="54" ht="15.0" customHeight="1">
      <c r="A54" s="5" t="s">
        <v>15</v>
      </c>
      <c r="B54" s="5" t="s">
        <v>13</v>
      </c>
      <c r="C54" s="6" t="str">
        <f>AVERAGE(Dabur!C28:E28)</f>
        <v>27.0</v>
      </c>
      <c r="D54" s="6" t="str">
        <f>Dabur!F28</f>
        <v>23.7</v>
      </c>
      <c r="E54" s="6" t="str">
        <f>AVERAGE(Dabur!G28:H28)</f>
        <v>25.8</v>
      </c>
      <c r="F54" s="6" t="str">
        <f t="shared" si="4"/>
        <v>-1.2</v>
      </c>
      <c r="G54" s="7" t="str">
        <f t="shared" si="5"/>
        <v>-4.4%</v>
      </c>
      <c r="H54" s="6" t="str">
        <f>AVERAGE(Dabur!F28:H28)</f>
        <v>25.1</v>
      </c>
      <c r="I54" s="7" t="str">
        <f t="shared" si="6"/>
        <v>-7.0%</v>
      </c>
    </row>
    <row r="55" ht="15.0" customHeight="1">
      <c r="A55" s="5" t="s">
        <v>15</v>
      </c>
      <c r="B55" s="5" t="s">
        <v>14</v>
      </c>
      <c r="C55" s="6" t="str">
        <f>AVERAGE(HUL!C28:E28)</f>
        <v>12.9</v>
      </c>
      <c r="D55" s="6" t="str">
        <f>HUL!F28</f>
        <v>16.0</v>
      </c>
      <c r="E55" s="6" t="str">
        <f>AVERAGE(HUL!G28:H28)</f>
        <v>18.8</v>
      </c>
      <c r="F55" s="6" t="str">
        <f t="shared" si="4"/>
        <v>5.9</v>
      </c>
      <c r="G55" s="7" t="str">
        <f t="shared" si="5"/>
        <v>45.5%</v>
      </c>
      <c r="H55" s="6" t="str">
        <f>AVERAGE(HUL!F28:H28)</f>
        <v>17.9</v>
      </c>
      <c r="I55" s="7" t="str">
        <f t="shared" si="6"/>
        <v>38.3%</v>
      </c>
    </row>
    <row r="56" ht="14.25" customHeight="1"/>
    <row r="57" ht="15.0" customHeight="1">
      <c r="A57" s="5" t="s">
        <v>16</v>
      </c>
      <c r="B57" s="5" t="s">
        <v>12</v>
      </c>
      <c r="C57" s="6" t="str">
        <f>AVERAGE(Marico!C29:E29)</f>
        <v>89.0</v>
      </c>
      <c r="D57" s="6" t="str">
        <f>Marico!F29</f>
        <v>95.4</v>
      </c>
      <c r="E57" s="6" t="str">
        <f>AVERAGE(Marico!G29:H29)</f>
        <v>108.1</v>
      </c>
      <c r="F57" s="6" t="str">
        <f t="shared" ref="F57:F59" si="7">E57-C57</f>
        <v>19.1</v>
      </c>
      <c r="G57" s="7" t="str">
        <f t="shared" ref="G57:G59" si="8">IF(C57=0,"N/A",(E57-C57)/ABS(C57))</f>
        <v>21.5%</v>
      </c>
      <c r="H57" s="6" t="str">
        <f>AVERAGE(Marico!F29:H29)</f>
        <v>103.9</v>
      </c>
      <c r="I57" s="7" t="str">
        <f t="shared" ref="I57:I59" si="9">IF(C57=0,"N/A",(H57-C57)/ABS(C57))</f>
        <v>16.7%</v>
      </c>
    </row>
    <row r="58" ht="15.0" customHeight="1">
      <c r="A58" s="5" t="s">
        <v>16</v>
      </c>
      <c r="B58" s="5" t="s">
        <v>13</v>
      </c>
      <c r="C58" s="6" t="str">
        <f>AVERAGE(Dabur!C29:E29)</f>
        <v>126.9</v>
      </c>
      <c r="D58" s="6" t="str">
        <f>Dabur!F29</f>
        <v>122.4</v>
      </c>
      <c r="E58" s="6" t="str">
        <f>AVERAGE(Dabur!G29:H29)</f>
        <v>138.5</v>
      </c>
      <c r="F58" s="6" t="str">
        <f t="shared" si="7"/>
        <v>11.6</v>
      </c>
      <c r="G58" s="7" t="str">
        <f t="shared" si="8"/>
        <v>9.2%</v>
      </c>
      <c r="H58" s="6" t="str">
        <f>AVERAGE(Dabur!F29:H29)</f>
        <v>133.1</v>
      </c>
      <c r="I58" s="7" t="str">
        <f t="shared" si="9"/>
        <v>4.9%</v>
      </c>
    </row>
    <row r="59" ht="15.0" customHeight="1">
      <c r="A59" s="5" t="s">
        <v>16</v>
      </c>
      <c r="B59" s="5" t="s">
        <v>14</v>
      </c>
      <c r="C59" s="6" t="str">
        <f>AVERAGE(HUL!C29:E29)</f>
        <v>136.2</v>
      </c>
      <c r="D59" s="6" t="str">
        <f>HUL!F29</f>
        <v>107.3</v>
      </c>
      <c r="E59" s="6" t="str">
        <f>AVERAGE(HUL!G29:H29)</f>
        <v>126.6</v>
      </c>
      <c r="F59" s="6" t="str">
        <f t="shared" si="7"/>
        <v>-9.7</v>
      </c>
      <c r="G59" s="7" t="str">
        <f t="shared" si="8"/>
        <v>-7.1%</v>
      </c>
      <c r="H59" s="6" t="str">
        <f>AVERAGE(HUL!F29:H29)</f>
        <v>120.1</v>
      </c>
      <c r="I59" s="7" t="str">
        <f t="shared" si="9"/>
        <v>-11.8%</v>
      </c>
    </row>
    <row r="60" ht="14.25" customHeight="1"/>
    <row r="61" ht="15.0" customHeight="1">
      <c r="A61" s="5" t="s">
        <v>17</v>
      </c>
      <c r="B61" s="5" t="s">
        <v>12</v>
      </c>
      <c r="C61" s="6" t="str">
        <f>AVERAGE(Marico!C30:E30)</f>
        <v>42.8</v>
      </c>
      <c r="D61" s="6" t="str">
        <f>Marico!F30</f>
        <v>25.7</v>
      </c>
      <c r="E61" s="6" t="str">
        <f>AVERAGE(Marico!G30:H30)</f>
        <v>24.0</v>
      </c>
      <c r="F61" s="6" t="str">
        <f t="shared" ref="F61:F63" si="10">E61-C61</f>
        <v>-18.8</v>
      </c>
      <c r="G61" s="7" t="str">
        <f t="shared" ref="G61:G63" si="11">IF(C61=0,"N/A",(E61-C61)/ABS(C61))</f>
        <v>-43.9%</v>
      </c>
      <c r="H61" s="6" t="str">
        <f>AVERAGE(Marico!F30:H30)</f>
        <v>24.6</v>
      </c>
      <c r="I61" s="7" t="str">
        <f t="shared" ref="I61:I63" si="12">IF(C61=0,"N/A",(H61-C61)/ABS(C61))</f>
        <v>-42.6%</v>
      </c>
    </row>
    <row r="62" ht="15.0" customHeight="1">
      <c r="A62" s="5" t="s">
        <v>17</v>
      </c>
      <c r="B62" s="5" t="s">
        <v>13</v>
      </c>
      <c r="C62" s="6" t="str">
        <f>AVERAGE(Dabur!C30:E30)</f>
        <v>16.7</v>
      </c>
      <c r="D62" s="6" t="str">
        <f>Dabur!F30</f>
        <v>15.8</v>
      </c>
      <c r="E62" s="6" t="str">
        <f>AVERAGE(Dabur!G30:H30)</f>
        <v>2.9</v>
      </c>
      <c r="F62" s="6" t="str">
        <f t="shared" si="10"/>
        <v>-13.8</v>
      </c>
      <c r="G62" s="7" t="str">
        <f t="shared" si="11"/>
        <v>-82.9%</v>
      </c>
      <c r="H62" s="6" t="str">
        <f>AVERAGE(Dabur!F30:H30)</f>
        <v>7.2</v>
      </c>
      <c r="I62" s="7" t="str">
        <f t="shared" si="12"/>
        <v>-57.0%</v>
      </c>
    </row>
    <row r="63" ht="15.0" customHeight="1">
      <c r="A63" s="5" t="s">
        <v>17</v>
      </c>
      <c r="B63" s="5" t="s">
        <v>14</v>
      </c>
      <c r="C63" s="6" t="str">
        <f>AVERAGE(HUL!C30:E30)</f>
        <v>-69.9</v>
      </c>
      <c r="D63" s="6" t="str">
        <f>HUL!F30</f>
        <v>-43.2</v>
      </c>
      <c r="E63" s="6" t="str">
        <f>AVERAGE(HUL!G30:H30)</f>
        <v>-57.2</v>
      </c>
      <c r="F63" s="6" t="str">
        <f t="shared" si="10"/>
        <v>12.7</v>
      </c>
      <c r="G63" s="7" t="str">
        <f t="shared" si="11"/>
        <v>18.2%</v>
      </c>
      <c r="H63" s="6" t="str">
        <f>AVERAGE(HUL!F30:H30)</f>
        <v>-52.5</v>
      </c>
      <c r="I63" s="7" t="str">
        <f t="shared" si="12"/>
        <v>24.9%</v>
      </c>
    </row>
    <row r="64" ht="14.25" customHeight="1"/>
    <row r="65" ht="15.0" customHeight="1">
      <c r="A65" s="5" t="s">
        <v>18</v>
      </c>
      <c r="B65" s="5" t="s">
        <v>12</v>
      </c>
      <c r="C65" s="7" t="str">
        <f>AVERAGE(Marico!C31:E31)</f>
        <v>46.2%</v>
      </c>
      <c r="D65" s="7" t="str">
        <f>Marico!F31</f>
        <v>45.2%</v>
      </c>
      <c r="E65" s="7" t="str">
        <f>AVERAGE(Marico!G31:H31)</f>
        <v>50.5%</v>
      </c>
      <c r="F65" s="7" t="str">
        <f t="shared" ref="F65:F67" si="13">E65-C65</f>
        <v>4.3%</v>
      </c>
      <c r="G65" s="7" t="str">
        <f t="shared" ref="G65:G67" si="14">IF(C65=0,"N/A",(E65-C65)/ABS(C65))</f>
        <v>9.4%</v>
      </c>
      <c r="H65" s="7" t="str">
        <f>AVERAGE(Marico!F31:H31)</f>
        <v>48.8%</v>
      </c>
      <c r="I65" s="7" t="str">
        <f t="shared" ref="I65:I67" si="15">IF(C65=0,"N/A",(H65-C65)/ABS(C65))</f>
        <v>5.5%</v>
      </c>
    </row>
    <row r="66" ht="15.0" customHeight="1">
      <c r="A66" s="5" t="s">
        <v>18</v>
      </c>
      <c r="B66" s="5" t="s">
        <v>13</v>
      </c>
      <c r="C66" s="7" t="str">
        <f>AVERAGE(Dabur!C31:E31)</f>
        <v>49.5%</v>
      </c>
      <c r="D66" s="7" t="str">
        <f>Dabur!F31</f>
        <v>45.6%</v>
      </c>
      <c r="E66" s="7" t="str">
        <f>AVERAGE(Dabur!G31:H31)</f>
        <v>48.0%</v>
      </c>
      <c r="F66" s="7" t="str">
        <f t="shared" si="13"/>
        <v>-1.5%</v>
      </c>
      <c r="G66" s="7" t="str">
        <f t="shared" si="14"/>
        <v>-3.0%</v>
      </c>
      <c r="H66" s="7" t="str">
        <f>AVERAGE(Dabur!F31:H31)</f>
        <v>47.2%</v>
      </c>
      <c r="I66" s="7" t="str">
        <f t="shared" si="15"/>
        <v>-4.6%</v>
      </c>
    </row>
    <row r="67" ht="15.0" customHeight="1">
      <c r="A67" s="5" t="s">
        <v>18</v>
      </c>
      <c r="B67" s="5" t="s">
        <v>14</v>
      </c>
      <c r="C67" s="7" t="str">
        <f>AVERAGE(HUL!C31:E31)</f>
        <v>52.6%</v>
      </c>
      <c r="D67" s="7" t="str">
        <f>HUL!F31</f>
        <v>47.6%</v>
      </c>
      <c r="E67" s="7" t="str">
        <f>AVERAGE(HUL!G31:H31)</f>
        <v>51.7%</v>
      </c>
      <c r="F67" s="7" t="str">
        <f t="shared" si="13"/>
        <v>-0.9%</v>
      </c>
      <c r="G67" s="7" t="str">
        <f t="shared" si="14"/>
        <v>-1.7%</v>
      </c>
      <c r="H67" s="7" t="str">
        <f>AVERAGE(HUL!F31:H31)</f>
        <v>50.4%</v>
      </c>
      <c r="I67" s="7" t="str">
        <f t="shared" si="15"/>
        <v>-4.3%</v>
      </c>
    </row>
    <row r="68" ht="14.25" customHeight="1"/>
    <row r="69" ht="15.0" customHeight="1">
      <c r="A69" s="5" t="s">
        <v>19</v>
      </c>
      <c r="B69" s="5" t="s">
        <v>12</v>
      </c>
      <c r="C69" s="7" t="str">
        <f>AVERAGE(Marico!C32:E32)</f>
        <v>19.2%</v>
      </c>
      <c r="D69" s="7" t="str">
        <f>Marico!F32</f>
        <v>18.5%</v>
      </c>
      <c r="E69" s="7" t="str">
        <f>AVERAGE(Marico!G32:H32)</f>
        <v>20.4%</v>
      </c>
      <c r="F69" s="7" t="str">
        <f t="shared" ref="F69:F71" si="16">E69-C69</f>
        <v>1.2%</v>
      </c>
      <c r="G69" s="7" t="str">
        <f t="shared" ref="G69:G71" si="17">IF(C69=0,"N/A",(E69-C69)/ABS(C69))</f>
        <v>6.3%</v>
      </c>
      <c r="H69" s="7" t="str">
        <f>AVERAGE(Marico!F32:H32)</f>
        <v>19.8%</v>
      </c>
      <c r="I69" s="7" t="str">
        <f t="shared" ref="I69:I71" si="18">IF(C69=0,"N/A",(H69-C69)/ABS(C69))</f>
        <v>3.1%</v>
      </c>
    </row>
    <row r="70" ht="15.0" customHeight="1">
      <c r="A70" s="5" t="s">
        <v>19</v>
      </c>
      <c r="B70" s="5" t="s">
        <v>13</v>
      </c>
      <c r="C70" s="7" t="str">
        <f>AVERAGE(Dabur!C32:E32)</f>
        <v>20.7%</v>
      </c>
      <c r="D70" s="7" t="str">
        <f>Dabur!F32</f>
        <v>18.8%</v>
      </c>
      <c r="E70" s="7" t="str">
        <f>AVERAGE(Dabur!G32:H32)</f>
        <v>18.9%</v>
      </c>
      <c r="F70" s="7" t="str">
        <f t="shared" si="16"/>
        <v>-1.8%</v>
      </c>
      <c r="G70" s="7" t="str">
        <f t="shared" si="17"/>
        <v>-8.9%</v>
      </c>
      <c r="H70" s="7" t="str">
        <f>AVERAGE(Dabur!F32:H32)</f>
        <v>18.8%</v>
      </c>
      <c r="I70" s="7" t="str">
        <f t="shared" si="18"/>
        <v>-9.1%</v>
      </c>
    </row>
    <row r="71" ht="15.0" customHeight="1">
      <c r="A71" s="5" t="s">
        <v>19</v>
      </c>
      <c r="B71" s="5" t="s">
        <v>14</v>
      </c>
      <c r="C71" s="7" t="str">
        <f>AVERAGE(HUL!C32:E32)</f>
        <v>24.7%</v>
      </c>
      <c r="D71" s="7" t="str">
        <f>HUL!F32</f>
        <v>23.4%</v>
      </c>
      <c r="E71" s="7" t="str">
        <f>AVERAGE(HUL!G32:H32)</f>
        <v>23.6%</v>
      </c>
      <c r="F71" s="7" t="str">
        <f t="shared" si="16"/>
        <v>-1.1%</v>
      </c>
      <c r="G71" s="7" t="str">
        <f t="shared" si="17"/>
        <v>-4.4%</v>
      </c>
      <c r="H71" s="7" t="str">
        <f>AVERAGE(HUL!F32:H32)</f>
        <v>23.5%</v>
      </c>
      <c r="I71" s="7" t="str">
        <f t="shared" si="18"/>
        <v>-4.7%</v>
      </c>
    </row>
    <row r="72" ht="14.25" customHeight="1"/>
    <row r="73" ht="15.0" customHeight="1">
      <c r="A73" s="5" t="s">
        <v>20</v>
      </c>
      <c r="B73" s="5" t="s">
        <v>12</v>
      </c>
      <c r="C73" s="7" t="str">
        <f>AVERAGE(Marico!C33:E33)</f>
        <v>13.8%</v>
      </c>
      <c r="D73" s="7" t="str">
        <f>Marico!F33</f>
        <v>13.3%</v>
      </c>
      <c r="E73" s="7" t="str">
        <f>AVERAGE(Marico!G33:H33)</f>
        <v>15.2%</v>
      </c>
      <c r="F73" s="7" t="str">
        <f t="shared" ref="F73:F75" si="19">E73-C73</f>
        <v>1.4%</v>
      </c>
      <c r="G73" s="7" t="str">
        <f t="shared" ref="G73:G75" si="20">IF(C73=0,"N/A",(E73-C73)/ABS(C73))</f>
        <v>10.1%</v>
      </c>
      <c r="H73" s="7" t="str">
        <f>AVERAGE(Marico!F33:H33)</f>
        <v>14.6%</v>
      </c>
      <c r="I73" s="7" t="str">
        <f t="shared" ref="I73:I75" si="21">IF(C73=0,"N/A",(H73-C73)/ABS(C73))</f>
        <v>5.6%</v>
      </c>
    </row>
    <row r="74" ht="15.0" customHeight="1">
      <c r="A74" s="5" t="s">
        <v>20</v>
      </c>
      <c r="B74" s="5" t="s">
        <v>13</v>
      </c>
      <c r="C74" s="7" t="str">
        <f>AVERAGE(Dabur!C33:E33)</f>
        <v>16.8%</v>
      </c>
      <c r="D74" s="7" t="str">
        <f>Dabur!F33</f>
        <v>14.8%</v>
      </c>
      <c r="E74" s="7" t="str">
        <f>AVERAGE(Dabur!G33:H33)</f>
        <v>14.5%</v>
      </c>
      <c r="F74" s="7" t="str">
        <f t="shared" si="19"/>
        <v>-2.3%</v>
      </c>
      <c r="G74" s="7" t="str">
        <f t="shared" si="20"/>
        <v>-13.7%</v>
      </c>
      <c r="H74" s="7" t="str">
        <f>AVERAGE(Dabur!F33:H33)</f>
        <v>14.6%</v>
      </c>
      <c r="I74" s="7" t="str">
        <f t="shared" si="21"/>
        <v>-13.0%</v>
      </c>
    </row>
    <row r="75" ht="15.0" customHeight="1">
      <c r="A75" s="5" t="s">
        <v>20</v>
      </c>
      <c r="B75" s="5" t="s">
        <v>14</v>
      </c>
      <c r="C75" s="7" t="str">
        <f>AVERAGE(HUL!C33:E33)</f>
        <v>17.0%</v>
      </c>
      <c r="D75" s="7" t="str">
        <f>HUL!F33</f>
        <v>16.7%</v>
      </c>
      <c r="E75" s="7" t="str">
        <f>AVERAGE(HUL!G33:H33)</f>
        <v>16.7%</v>
      </c>
      <c r="F75" s="7" t="str">
        <f t="shared" si="19"/>
        <v>-0.2%</v>
      </c>
      <c r="G75" s="7" t="str">
        <f t="shared" si="20"/>
        <v>-1.3%</v>
      </c>
      <c r="H75" s="7" t="str">
        <f>AVERAGE(HUL!F33:H33)</f>
        <v>16.7%</v>
      </c>
      <c r="I75" s="7" t="str">
        <f t="shared" si="21"/>
        <v>-1.4%</v>
      </c>
    </row>
    <row r="76" ht="14.25" customHeight="1"/>
    <row r="77" ht="15.0" customHeight="1">
      <c r="A77" s="5" t="s">
        <v>21</v>
      </c>
      <c r="B77" s="5" t="s">
        <v>12</v>
      </c>
      <c r="C77" s="7" t="str">
        <f>AVERAGE(Marico!C34:E34)</f>
        <v>42.9%</v>
      </c>
      <c r="D77" s="7" t="str">
        <f>Marico!F34</f>
        <v>40.6%</v>
      </c>
      <c r="E77" s="7" t="str">
        <f>AVERAGE(Marico!G34:H34)</f>
        <v>37.7%</v>
      </c>
      <c r="F77" s="7" t="str">
        <f t="shared" ref="F77:F79" si="22">E77-C77</f>
        <v>-5.2%</v>
      </c>
      <c r="G77" s="7" t="str">
        <f t="shared" ref="G77:G79" si="23">IF(C77=0,"N/A",(E77-C77)/ABS(C77))</f>
        <v>-12.1%</v>
      </c>
      <c r="H77" s="7" t="str">
        <f>AVERAGE(Marico!F34:H34)</f>
        <v>38.7%</v>
      </c>
      <c r="I77" s="7" t="str">
        <f t="shared" ref="I77:I79" si="24">IF(C77=0,"N/A",(H77-C77)/ABS(C77))</f>
        <v>-9.9%</v>
      </c>
    </row>
    <row r="78" ht="15.0" customHeight="1">
      <c r="A78" s="5" t="s">
        <v>21</v>
      </c>
      <c r="B78" s="5" t="s">
        <v>13</v>
      </c>
      <c r="C78" s="7" t="str">
        <f>AVERAGE(Dabur!C34:E34)</f>
        <v>24.1%</v>
      </c>
      <c r="D78" s="7" t="str">
        <f>Dabur!F34</f>
        <v>19.5%</v>
      </c>
      <c r="E78" s="7" t="str">
        <f>AVERAGE(Dabur!G34:H34)</f>
        <v>17.5%</v>
      </c>
      <c r="F78" s="7" t="str">
        <f t="shared" si="22"/>
        <v>-6.6%</v>
      </c>
      <c r="G78" s="7" t="str">
        <f t="shared" si="23"/>
        <v>-27.3%</v>
      </c>
      <c r="H78" s="7" t="str">
        <f>AVERAGE(Dabur!F34:H34)</f>
        <v>18.2%</v>
      </c>
      <c r="I78" s="7" t="str">
        <f t="shared" si="24"/>
        <v>-24.6%</v>
      </c>
    </row>
    <row r="79" ht="15.0" customHeight="1">
      <c r="A79" s="5" t="s">
        <v>21</v>
      </c>
      <c r="B79" s="5" t="s">
        <v>14</v>
      </c>
      <c r="C79" s="7" t="str">
        <f>AVERAGE(HUL!C34:E34)</f>
        <v>45.4%</v>
      </c>
      <c r="D79" s="7" t="str">
        <f>HUL!F34</f>
        <v>21.6%</v>
      </c>
      <c r="E79" s="7" t="str">
        <f>AVERAGE(HUL!G34:H34)</f>
        <v>21.1%</v>
      </c>
      <c r="F79" s="7" t="str">
        <f t="shared" si="22"/>
        <v>-24.3%</v>
      </c>
      <c r="G79" s="7" t="str">
        <f t="shared" si="23"/>
        <v>-53.6%</v>
      </c>
      <c r="H79" s="7" t="str">
        <f>AVERAGE(HUL!F34:H34)</f>
        <v>21.3%</v>
      </c>
      <c r="I79" s="7" t="str">
        <f t="shared" si="24"/>
        <v>-53.2%</v>
      </c>
    </row>
    <row r="80" ht="14.25" customHeight="1"/>
    <row r="81" ht="15.0" customHeight="1">
      <c r="A81" s="5" t="s">
        <v>22</v>
      </c>
      <c r="B81" s="5" t="s">
        <v>12</v>
      </c>
      <c r="C81" s="7" t="str">
        <f>AVERAGE(Marico!C35:E35)</f>
        <v>21.6%</v>
      </c>
      <c r="D81" s="7" t="str">
        <f>Marico!F35</f>
        <v>20.5%</v>
      </c>
      <c r="E81" s="7" t="str">
        <f>AVERAGE(Marico!G35:H35)</f>
        <v>20.6%</v>
      </c>
      <c r="F81" s="7" t="str">
        <f t="shared" ref="F81:F83" si="25">E81-C81</f>
        <v>-1.0%</v>
      </c>
      <c r="G81" s="7" t="str">
        <f t="shared" ref="G81:G83" si="26">IF(C81=0,"N/A",(E81-C81)/ABS(C81))</f>
        <v>-4.6%</v>
      </c>
      <c r="H81" s="7" t="str">
        <f>AVERAGE(Marico!F35:H35)</f>
        <v>20.6%</v>
      </c>
      <c r="I81" s="7" t="str">
        <f t="shared" ref="I81:I83" si="27">IF(C81=0,"N/A",(H81-C81)/ABS(C81))</f>
        <v>-4.9%</v>
      </c>
    </row>
    <row r="82" ht="15.0" customHeight="1">
      <c r="A82" s="5" t="s">
        <v>22</v>
      </c>
      <c r="B82" s="5" t="s">
        <v>13</v>
      </c>
      <c r="C82" s="7" t="str">
        <f>AVERAGE(Dabur!C35:E35)</f>
        <v>16.0%</v>
      </c>
      <c r="D82" s="7" t="str">
        <f>Dabur!F35</f>
        <v>13.2%</v>
      </c>
      <c r="E82" s="7" t="str">
        <f>AVERAGE(Dabur!G35:H35)</f>
        <v>12.0%</v>
      </c>
      <c r="F82" s="7" t="str">
        <f t="shared" si="25"/>
        <v>-4.0%</v>
      </c>
      <c r="G82" s="7" t="str">
        <f t="shared" si="26"/>
        <v>-24.8%</v>
      </c>
      <c r="H82" s="7" t="str">
        <f>AVERAGE(Dabur!F35:H35)</f>
        <v>12.4%</v>
      </c>
      <c r="I82" s="7" t="str">
        <f t="shared" si="27"/>
        <v>-22.5%</v>
      </c>
    </row>
    <row r="83" ht="15.0" customHeight="1">
      <c r="A83" s="5" t="s">
        <v>22</v>
      </c>
      <c r="B83" s="5" t="s">
        <v>14</v>
      </c>
      <c r="C83" s="7" t="str">
        <f>AVERAGE(HUL!C35:E35)</f>
        <v>21.8%</v>
      </c>
      <c r="D83" s="7" t="str">
        <f>HUL!F35</f>
        <v>14.1%</v>
      </c>
      <c r="E83" s="7" t="str">
        <f>AVERAGE(HUL!G35:H35)</f>
        <v>13.5%</v>
      </c>
      <c r="F83" s="7" t="str">
        <f t="shared" si="25"/>
        <v>-8.3%</v>
      </c>
      <c r="G83" s="7" t="str">
        <f t="shared" si="26"/>
        <v>-38.2%</v>
      </c>
      <c r="H83" s="7" t="str">
        <f>AVERAGE(HUL!F35:H35)</f>
        <v>13.7%</v>
      </c>
      <c r="I83" s="7" t="str">
        <f t="shared" si="27"/>
        <v>-37.3%</v>
      </c>
    </row>
    <row r="84" ht="14.25" customHeight="1"/>
    <row r="85" ht="15.0" customHeight="1">
      <c r="A85" s="5" t="s">
        <v>23</v>
      </c>
      <c r="B85" s="5" t="s">
        <v>12</v>
      </c>
      <c r="C85" s="7" t="str">
        <f>AVERAGE(Marico!C36:E36)</f>
        <v>9.3%</v>
      </c>
      <c r="D85" s="7" t="str">
        <f>Marico!F36</f>
        <v>2.6%</v>
      </c>
      <c r="E85" s="7" t="str">
        <f>AVERAGE(Marico!G36:H36)</f>
        <v>5.5%</v>
      </c>
      <c r="F85" s="7" t="str">
        <f t="shared" ref="F85:F87" si="28">E85-C85</f>
        <v>-3.8%</v>
      </c>
      <c r="G85" s="7" t="str">
        <f t="shared" ref="G85:G87" si="29">IF(C85=0,"N/A",(E85-C85)/ABS(C85))</f>
        <v>-40.6%</v>
      </c>
      <c r="H85" s="7" t="str">
        <f>AVERAGE(Marico!F36:H36)</f>
        <v>4.6%</v>
      </c>
      <c r="I85" s="7" t="str">
        <f t="shared" ref="I85:I87" si="30">IF(C85=0,"N/A",(H85-C85)/ABS(C85))</f>
        <v>-50.9%</v>
      </c>
    </row>
    <row r="86" ht="15.0" customHeight="1">
      <c r="A86" s="5" t="s">
        <v>23</v>
      </c>
      <c r="B86" s="5" t="s">
        <v>13</v>
      </c>
      <c r="C86" s="7" t="str">
        <f>AVERAGE(Dabur!C36:E36)</f>
        <v>8.6%</v>
      </c>
      <c r="D86" s="7" t="str">
        <f>Dabur!F36</f>
        <v>5.9%</v>
      </c>
      <c r="E86" s="7" t="str">
        <f>AVERAGE(Dabur!G36:H36)</f>
        <v>4.4%</v>
      </c>
      <c r="F86" s="7" t="str">
        <f t="shared" si="28"/>
        <v>-4.1%</v>
      </c>
      <c r="G86" s="7" t="str">
        <f t="shared" si="29"/>
        <v>-48.3%</v>
      </c>
      <c r="H86" s="7" t="str">
        <f>AVERAGE(Dabur!F36:H36)</f>
        <v>4.9%</v>
      </c>
      <c r="I86" s="7" t="str">
        <f t="shared" si="30"/>
        <v>-42.7%</v>
      </c>
    </row>
    <row r="87" ht="15.0" customHeight="1">
      <c r="A87" s="5" t="s">
        <v>23</v>
      </c>
      <c r="B87" s="5" t="s">
        <v>14</v>
      </c>
      <c r="C87" s="7" t="str">
        <f>AVERAGE(HUL!C36:E36)</f>
        <v>10.3%</v>
      </c>
      <c r="D87" s="7" t="str">
        <f>HUL!F36</f>
        <v>15.5%</v>
      </c>
      <c r="E87" s="7" t="str">
        <f>AVERAGE(HUL!G36:H36)</f>
        <v>2.1%</v>
      </c>
      <c r="F87" s="7" t="str">
        <f t="shared" si="28"/>
        <v>-8.2%</v>
      </c>
      <c r="G87" s="7" t="str">
        <f t="shared" si="29"/>
        <v>-79.9%</v>
      </c>
      <c r="H87" s="7" t="str">
        <f>AVERAGE(HUL!F36:H36)</f>
        <v>6.6%</v>
      </c>
      <c r="I87" s="7" t="str">
        <f t="shared" si="30"/>
        <v>-36.4%</v>
      </c>
    </row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8" width="12.57"/>
    <col customWidth="1" min="9" max="11" width="8.57"/>
  </cols>
  <sheetData>
    <row r="1" ht="17.25" customHeight="1">
      <c r="A1" s="9" t="s">
        <v>32</v>
      </c>
    </row>
    <row r="2" ht="14.25" customHeight="1"/>
    <row r="3" ht="15.0" customHeight="1">
      <c r="A3" s="10" t="s">
        <v>33</v>
      </c>
      <c r="B3" s="10" t="s">
        <v>34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</row>
    <row r="4" ht="15.0" customHeight="1">
      <c r="A4" s="11" t="s">
        <v>35</v>
      </c>
      <c r="B4" s="12">
        <v>8533.05</v>
      </c>
      <c r="C4" s="12">
        <v>8703.59</v>
      </c>
      <c r="D4" s="12">
        <v>9561.65</v>
      </c>
      <c r="E4" s="12">
        <v>10888.68</v>
      </c>
      <c r="F4" s="12">
        <v>11529.89</v>
      </c>
      <c r="G4" s="12">
        <v>12404.01</v>
      </c>
      <c r="H4" s="12">
        <v>12563.09</v>
      </c>
    </row>
    <row r="5" ht="15.0" customHeight="1">
      <c r="A5" s="11" t="s">
        <v>36</v>
      </c>
      <c r="B5" s="12">
        <v>296.17</v>
      </c>
      <c r="C5" s="12">
        <v>305.29</v>
      </c>
      <c r="D5" s="12">
        <v>325.29</v>
      </c>
      <c r="E5" s="12">
        <v>393.16</v>
      </c>
      <c r="F5" s="12">
        <v>445.39</v>
      </c>
      <c r="G5" s="12">
        <v>482.41</v>
      </c>
      <c r="H5" s="12">
        <v>550.1</v>
      </c>
    </row>
    <row r="6" ht="15.0" customHeight="1">
      <c r="A6" s="11" t="s">
        <v>37</v>
      </c>
      <c r="B6" s="12">
        <v>3475.35</v>
      </c>
      <c r="C6" s="12">
        <v>3731.71</v>
      </c>
      <c r="D6" s="12">
        <v>3998.58</v>
      </c>
      <c r="E6" s="12">
        <v>4766.12</v>
      </c>
      <c r="F6" s="12">
        <v>5306.97</v>
      </c>
      <c r="G6" s="12">
        <v>5186.9</v>
      </c>
      <c r="H6" s="12">
        <v>5263.68</v>
      </c>
    </row>
    <row r="7" ht="15.0" customHeight="1">
      <c r="A7" s="11" t="s">
        <v>38</v>
      </c>
      <c r="B7" s="12">
        <v>802.98</v>
      </c>
      <c r="C7" s="12">
        <v>674.62</v>
      </c>
      <c r="D7" s="12">
        <v>982.53</v>
      </c>
      <c r="E7" s="12">
        <v>882.12</v>
      </c>
      <c r="F7" s="12">
        <v>1052.49</v>
      </c>
      <c r="G7" s="12">
        <v>1211.11</v>
      </c>
      <c r="H7" s="12">
        <v>1328.28</v>
      </c>
    </row>
    <row r="8" ht="15.0" customHeight="1">
      <c r="A8" s="11" t="s">
        <v>39</v>
      </c>
      <c r="B8" s="12">
        <v>12.64</v>
      </c>
      <c r="C8" s="12">
        <v>-65.04</v>
      </c>
      <c r="D8" s="12">
        <v>-207.2</v>
      </c>
      <c r="E8" s="12">
        <v>-8.55</v>
      </c>
      <c r="F8" s="12">
        <v>-90.79</v>
      </c>
      <c r="G8" s="12">
        <v>48.95</v>
      </c>
      <c r="H8" s="12">
        <v>-57.1</v>
      </c>
    </row>
    <row r="9" ht="15.0" customHeight="1">
      <c r="A9" s="11" t="s">
        <v>40</v>
      </c>
      <c r="B9" s="12">
        <v>59.58</v>
      </c>
      <c r="C9" s="12">
        <v>49.54</v>
      </c>
      <c r="D9" s="12">
        <v>30.81</v>
      </c>
      <c r="E9" s="12">
        <v>38.6</v>
      </c>
      <c r="F9" s="12">
        <v>78.24</v>
      </c>
      <c r="G9" s="12">
        <v>124.18</v>
      </c>
      <c r="H9" s="12">
        <v>163.5</v>
      </c>
    </row>
    <row r="10" ht="15.0" customHeight="1">
      <c r="A10" s="11" t="s">
        <v>41</v>
      </c>
      <c r="B10" s="12">
        <v>176.9</v>
      </c>
      <c r="C10" s="12">
        <v>220.45</v>
      </c>
      <c r="D10" s="12">
        <v>240.13</v>
      </c>
      <c r="E10" s="12">
        <v>252.89</v>
      </c>
      <c r="F10" s="12">
        <v>310.96</v>
      </c>
      <c r="G10" s="12">
        <v>399.21</v>
      </c>
      <c r="H10" s="12">
        <v>445.6</v>
      </c>
    </row>
    <row r="11" ht="15.0" customHeight="1">
      <c r="A11" s="11" t="s">
        <v>42</v>
      </c>
      <c r="B11" s="12">
        <v>1800.21</v>
      </c>
      <c r="C11" s="12">
        <v>1827.64</v>
      </c>
      <c r="D11" s="12">
        <v>2056.02</v>
      </c>
      <c r="E11" s="12">
        <v>2353.68</v>
      </c>
      <c r="F11" s="12">
        <v>2218.68</v>
      </c>
      <c r="G11" s="12">
        <v>2358.74</v>
      </c>
      <c r="H11" s="12">
        <v>2257.89</v>
      </c>
    </row>
    <row r="12" ht="15.0" customHeight="1">
      <c r="A12" s="11" t="s">
        <v>43</v>
      </c>
      <c r="B12" s="12">
        <v>1442.33</v>
      </c>
      <c r="C12" s="12">
        <v>1444.96</v>
      </c>
      <c r="D12" s="12">
        <v>1693.3</v>
      </c>
      <c r="E12" s="12">
        <v>1739.22</v>
      </c>
      <c r="F12" s="12">
        <v>1707.15</v>
      </c>
      <c r="G12" s="12">
        <v>1842.68</v>
      </c>
      <c r="H12" s="12">
        <v>1767.63</v>
      </c>
    </row>
    <row r="13" ht="15.0" customHeight="1">
      <c r="A13" s="11" t="s">
        <v>44</v>
      </c>
      <c r="B13" s="12">
        <v>1300.53</v>
      </c>
      <c r="C13" s="12">
        <v>1379.57</v>
      </c>
      <c r="D13" s="12">
        <v>1734.28</v>
      </c>
      <c r="E13" s="12">
        <v>1911.37</v>
      </c>
      <c r="F13" s="12">
        <v>2024.2</v>
      </c>
      <c r="G13" s="12">
        <v>1946.97</v>
      </c>
      <c r="H13" s="12">
        <v>2300.11</v>
      </c>
    </row>
    <row r="14" ht="15.0" customHeight="1">
      <c r="A14" s="11" t="s">
        <v>45</v>
      </c>
      <c r="B14" s="12">
        <v>833.56</v>
      </c>
      <c r="C14" s="12">
        <v>813.89</v>
      </c>
      <c r="D14" s="12">
        <v>561.58</v>
      </c>
      <c r="E14" s="12">
        <v>646.15</v>
      </c>
      <c r="F14" s="12">
        <v>848.75</v>
      </c>
      <c r="G14" s="12">
        <v>898.72</v>
      </c>
      <c r="H14" s="12">
        <v>888.5</v>
      </c>
    </row>
    <row r="15" ht="15.0" customHeight="1">
      <c r="A15" s="11" t="s">
        <v>46</v>
      </c>
      <c r="B15" s="12">
        <v>1455.43</v>
      </c>
      <c r="C15" s="12">
        <v>1482.15</v>
      </c>
      <c r="D15" s="12">
        <v>1915.26</v>
      </c>
      <c r="E15" s="12">
        <v>2017.95</v>
      </c>
      <c r="F15" s="12">
        <v>2186.61</v>
      </c>
      <c r="G15" s="12">
        <v>2421.71</v>
      </c>
      <c r="H15" s="12">
        <v>2825.34</v>
      </c>
    </row>
    <row r="16" ht="15.0" customHeight="1">
      <c r="A16" s="11" t="s">
        <v>47</v>
      </c>
      <c r="B16" s="12">
        <v>8436.64</v>
      </c>
      <c r="C16" s="12">
        <v>9354.01</v>
      </c>
      <c r="D16" s="12">
        <v>10847.13</v>
      </c>
      <c r="E16" s="12">
        <v>12284.53</v>
      </c>
      <c r="F16" s="12">
        <v>13654.37</v>
      </c>
      <c r="G16" s="12">
        <v>15122.68</v>
      </c>
      <c r="H16" s="12">
        <v>16232.28</v>
      </c>
    </row>
    <row r="17" ht="15.0" customHeight="1">
      <c r="A17" s="11" t="s">
        <v>48</v>
      </c>
      <c r="B17" s="12">
        <v>2660.31</v>
      </c>
      <c r="C17" s="12">
        <v>2463.88</v>
      </c>
      <c r="D17" s="12">
        <v>2934.19</v>
      </c>
      <c r="E17" s="12">
        <v>3322.54</v>
      </c>
      <c r="F17" s="12">
        <v>3609.43</v>
      </c>
      <c r="G17" s="12">
        <v>3930.43</v>
      </c>
      <c r="H17" s="12">
        <v>4318.44</v>
      </c>
    </row>
    <row r="18" ht="15.0" customHeight="1">
      <c r="A18" s="13" t="s">
        <v>49</v>
      </c>
      <c r="B18" s="13">
        <v>1724.87</v>
      </c>
      <c r="C18" s="13">
        <v>1727.64</v>
      </c>
      <c r="D18" s="13">
        <v>2056.02</v>
      </c>
      <c r="E18" s="13">
        <v>2268.68</v>
      </c>
      <c r="F18" s="13">
        <v>2218.68</v>
      </c>
      <c r="G18" s="13">
        <v>2358.74</v>
      </c>
      <c r="H18" s="13">
        <v>2257.89</v>
      </c>
    </row>
    <row r="19" ht="15.0" customHeight="1">
      <c r="A19" s="14" t="s">
        <v>50</v>
      </c>
    </row>
    <row r="20" ht="15.0" customHeight="1">
      <c r="A20" s="11" t="s">
        <v>51</v>
      </c>
      <c r="B20" s="15" t="str">
        <f t="shared" ref="B20:H20" si="1">B6+B7+B8</f>
        <v>4,290.97</v>
      </c>
      <c r="C20" s="15" t="str">
        <f t="shared" si="1"/>
        <v>4,341.29</v>
      </c>
      <c r="D20" s="15" t="str">
        <f t="shared" si="1"/>
        <v>4,773.91</v>
      </c>
      <c r="E20" s="15" t="str">
        <f t="shared" si="1"/>
        <v>5,639.69</v>
      </c>
      <c r="F20" s="15" t="str">
        <f t="shared" si="1"/>
        <v>6,268.67</v>
      </c>
      <c r="G20" s="15" t="str">
        <f t="shared" si="1"/>
        <v>6,446.96</v>
      </c>
      <c r="H20" s="15" t="str">
        <f t="shared" si="1"/>
        <v>6,534.86</v>
      </c>
    </row>
    <row r="21" ht="15.0" customHeight="1">
      <c r="A21" s="11" t="s">
        <v>52</v>
      </c>
      <c r="B21" s="15" t="str">
        <f t="shared" ref="B21:H21" si="2">B4-B20</f>
        <v>4,242.08</v>
      </c>
      <c r="C21" s="15" t="str">
        <f t="shared" si="2"/>
        <v>4,362.30</v>
      </c>
      <c r="D21" s="15" t="str">
        <f t="shared" si="2"/>
        <v>4,787.74</v>
      </c>
      <c r="E21" s="15" t="str">
        <f t="shared" si="2"/>
        <v>5,248.99</v>
      </c>
      <c r="F21" s="15" t="str">
        <f t="shared" si="2"/>
        <v>5,261.22</v>
      </c>
      <c r="G21" s="15" t="str">
        <f t="shared" si="2"/>
        <v>5,957.05</v>
      </c>
      <c r="H21" s="15" t="str">
        <f t="shared" si="2"/>
        <v>6,028.23</v>
      </c>
    </row>
    <row r="22" ht="15.0" customHeight="1">
      <c r="A22" s="11" t="s">
        <v>53</v>
      </c>
      <c r="B22" s="15" t="str">
        <f t="shared" ref="B22:H22" si="3">B11+B9+B10-B5</f>
        <v>1,740.52</v>
      </c>
      <c r="C22" s="15" t="str">
        <f t="shared" si="3"/>
        <v>1,792.34</v>
      </c>
      <c r="D22" s="15" t="str">
        <f t="shared" si="3"/>
        <v>2,001.67</v>
      </c>
      <c r="E22" s="15" t="str">
        <f t="shared" si="3"/>
        <v>2,252.01</v>
      </c>
      <c r="F22" s="15" t="str">
        <f t="shared" si="3"/>
        <v>2,162.49</v>
      </c>
      <c r="G22" s="15" t="str">
        <f t="shared" si="3"/>
        <v>2,399.72</v>
      </c>
      <c r="H22" s="15" t="str">
        <f t="shared" si="3"/>
        <v>2,316.89</v>
      </c>
    </row>
    <row r="23" ht="15.0" customHeight="1">
      <c r="A23" s="11" t="s">
        <v>54</v>
      </c>
      <c r="B23" s="15" t="str">
        <f t="shared" ref="B23:H23" si="4">B22-B10</f>
        <v>1,563.62</v>
      </c>
      <c r="C23" s="15" t="str">
        <f t="shared" si="4"/>
        <v>1,571.89</v>
      </c>
      <c r="D23" s="15" t="str">
        <f t="shared" si="4"/>
        <v>1,761.54</v>
      </c>
      <c r="E23" s="15" t="str">
        <f t="shared" si="4"/>
        <v>1,999.12</v>
      </c>
      <c r="F23" s="15" t="str">
        <f t="shared" si="4"/>
        <v>1,851.53</v>
      </c>
      <c r="G23" s="15" t="str">
        <f t="shared" si="4"/>
        <v>2,000.51</v>
      </c>
      <c r="H23" s="15" t="str">
        <f t="shared" si="4"/>
        <v>1,871.29</v>
      </c>
    </row>
    <row r="24" ht="15.0" customHeight="1">
      <c r="A24" s="11" t="s">
        <v>55</v>
      </c>
      <c r="B24" s="15" t="str">
        <f t="shared" ref="B24:H24" si="5">B16-B17</f>
        <v>5,776.33</v>
      </c>
      <c r="C24" s="15" t="str">
        <f t="shared" si="5"/>
        <v>6,890.13</v>
      </c>
      <c r="D24" s="15" t="str">
        <f t="shared" si="5"/>
        <v>7,912.94</v>
      </c>
      <c r="E24" s="15" t="str">
        <f t="shared" si="5"/>
        <v>8,961.99</v>
      </c>
      <c r="F24" s="15" t="str">
        <f t="shared" si="5"/>
        <v>10,044.94</v>
      </c>
      <c r="G24" s="15" t="str">
        <f t="shared" si="5"/>
        <v>11,192.25</v>
      </c>
      <c r="H24" s="15" t="str">
        <f t="shared" si="5"/>
        <v>11,913.84</v>
      </c>
    </row>
    <row r="25" ht="14.25" customHeight="1"/>
    <row r="26" ht="15.0" customHeight="1">
      <c r="A26" s="14" t="s">
        <v>56</v>
      </c>
    </row>
    <row r="27" ht="15.0" customHeight="1">
      <c r="A27" s="11" t="s">
        <v>11</v>
      </c>
      <c r="B27" s="16" t="s">
        <v>57</v>
      </c>
      <c r="C27" s="16" t="str">
        <f t="shared" ref="C27:H27" si="6">((B13+C13)/2)/C20*365</f>
        <v>112.7</v>
      </c>
      <c r="D27" s="16" t="str">
        <f t="shared" si="6"/>
        <v>119.0</v>
      </c>
      <c r="E27" s="16" t="str">
        <f t="shared" si="6"/>
        <v>118.0</v>
      </c>
      <c r="F27" s="16" t="str">
        <f t="shared" si="6"/>
        <v>114.6</v>
      </c>
      <c r="G27" s="16" t="str">
        <f t="shared" si="6"/>
        <v>112.4</v>
      </c>
      <c r="H27" s="16" t="str">
        <f t="shared" si="6"/>
        <v>118.6</v>
      </c>
    </row>
    <row r="28" ht="15.0" customHeight="1">
      <c r="A28" s="11" t="s">
        <v>15</v>
      </c>
      <c r="B28" s="16" t="s">
        <v>57</v>
      </c>
      <c r="C28" s="16" t="str">
        <f t="shared" ref="C28:H28" si="7">((B14+C14)/2)/C4*365</f>
        <v>34.5</v>
      </c>
      <c r="D28" s="16" t="str">
        <f t="shared" si="7"/>
        <v>26.3</v>
      </c>
      <c r="E28" s="16" t="str">
        <f t="shared" si="7"/>
        <v>20.2</v>
      </c>
      <c r="F28" s="16" t="str">
        <f t="shared" si="7"/>
        <v>23.7</v>
      </c>
      <c r="G28" s="16" t="str">
        <f t="shared" si="7"/>
        <v>25.7</v>
      </c>
      <c r="H28" s="16" t="str">
        <f t="shared" si="7"/>
        <v>26.0</v>
      </c>
    </row>
    <row r="29" ht="15.0" customHeight="1">
      <c r="A29" s="11" t="s">
        <v>16</v>
      </c>
      <c r="B29" s="16" t="s">
        <v>57</v>
      </c>
      <c r="C29" s="16" t="str">
        <f t="shared" ref="C29:H29" si="8">((B15+C15)/2)/C20*365</f>
        <v>123.5</v>
      </c>
      <c r="D29" s="16" t="str">
        <f t="shared" si="8"/>
        <v>129.9</v>
      </c>
      <c r="E29" s="16" t="str">
        <f t="shared" si="8"/>
        <v>127.3</v>
      </c>
      <c r="F29" s="16" t="str">
        <f t="shared" si="8"/>
        <v>122.4</v>
      </c>
      <c r="G29" s="16" t="str">
        <f t="shared" si="8"/>
        <v>130.5</v>
      </c>
      <c r="H29" s="16" t="str">
        <f t="shared" si="8"/>
        <v>146.5</v>
      </c>
    </row>
    <row r="30" ht="15.0" customHeight="1">
      <c r="A30" s="11" t="s">
        <v>17</v>
      </c>
      <c r="B30" s="16" t="s">
        <v>57</v>
      </c>
      <c r="C30" s="16" t="str">
        <f t="shared" ref="C30:H30" si="9">C27+C28-C29</f>
        <v>23.7</v>
      </c>
      <c r="D30" s="16" t="str">
        <f t="shared" si="9"/>
        <v>15.4</v>
      </c>
      <c r="E30" s="16" t="str">
        <f t="shared" si="9"/>
        <v>10.9</v>
      </c>
      <c r="F30" s="16" t="str">
        <f t="shared" si="9"/>
        <v>15.8</v>
      </c>
      <c r="G30" s="16" t="str">
        <f t="shared" si="9"/>
        <v>7.7</v>
      </c>
      <c r="H30" s="16" t="str">
        <f t="shared" si="9"/>
        <v>-2.0</v>
      </c>
    </row>
    <row r="31" ht="15.0" customHeight="1">
      <c r="A31" s="11" t="s">
        <v>18</v>
      </c>
      <c r="B31" s="17" t="str">
        <f t="shared" ref="B31:H31" si="10">B21/B4</f>
        <v>49.7%</v>
      </c>
      <c r="C31" s="17" t="str">
        <f t="shared" si="10"/>
        <v>50.1%</v>
      </c>
      <c r="D31" s="17" t="str">
        <f t="shared" si="10"/>
        <v>50.1%</v>
      </c>
      <c r="E31" s="17" t="str">
        <f t="shared" si="10"/>
        <v>48.2%</v>
      </c>
      <c r="F31" s="17" t="str">
        <f t="shared" si="10"/>
        <v>45.6%</v>
      </c>
      <c r="G31" s="17" t="str">
        <f t="shared" si="10"/>
        <v>48.0%</v>
      </c>
      <c r="H31" s="17" t="str">
        <f t="shared" si="10"/>
        <v>48.0%</v>
      </c>
    </row>
    <row r="32" ht="15.0" customHeight="1">
      <c r="A32" s="11" t="s">
        <v>19</v>
      </c>
      <c r="B32" s="17" t="str">
        <f t="shared" ref="B32:H32" si="11">B22/B4</f>
        <v>20.4%</v>
      </c>
      <c r="C32" s="17" t="str">
        <f t="shared" si="11"/>
        <v>20.6%</v>
      </c>
      <c r="D32" s="17" t="str">
        <f t="shared" si="11"/>
        <v>20.9%</v>
      </c>
      <c r="E32" s="17" t="str">
        <f t="shared" si="11"/>
        <v>20.7%</v>
      </c>
      <c r="F32" s="17" t="str">
        <f t="shared" si="11"/>
        <v>18.8%</v>
      </c>
      <c r="G32" s="17" t="str">
        <f t="shared" si="11"/>
        <v>19.3%</v>
      </c>
      <c r="H32" s="17" t="str">
        <f t="shared" si="11"/>
        <v>18.4%</v>
      </c>
    </row>
    <row r="33" ht="15.0" customHeight="1">
      <c r="A33" s="11" t="s">
        <v>20</v>
      </c>
      <c r="B33" s="17" t="str">
        <f t="shared" ref="B33:H33" si="12">B12/B4</f>
        <v>16.9%</v>
      </c>
      <c r="C33" s="17" t="str">
        <f t="shared" si="12"/>
        <v>16.6%</v>
      </c>
      <c r="D33" s="17" t="str">
        <f t="shared" si="12"/>
        <v>17.7%</v>
      </c>
      <c r="E33" s="17" t="str">
        <f t="shared" si="12"/>
        <v>16.0%</v>
      </c>
      <c r="F33" s="17" t="str">
        <f t="shared" si="12"/>
        <v>14.8%</v>
      </c>
      <c r="G33" s="17" t="str">
        <f t="shared" si="12"/>
        <v>14.9%</v>
      </c>
      <c r="H33" s="17" t="str">
        <f t="shared" si="12"/>
        <v>14.1%</v>
      </c>
    </row>
    <row r="34" ht="15.0" customHeight="1">
      <c r="A34" s="11" t="s">
        <v>21</v>
      </c>
      <c r="B34" s="17" t="s">
        <v>57</v>
      </c>
      <c r="C34" s="17" t="str">
        <f>(C23)/(((B16-B17)+C24)/2)</f>
        <v>24.8%</v>
      </c>
      <c r="D34" s="17" t="str">
        <f t="shared" ref="D34:H34" si="13">D23/((C24+D24)/2)</f>
        <v>23.8%</v>
      </c>
      <c r="E34" s="17" t="str">
        <f t="shared" si="13"/>
        <v>23.7%</v>
      </c>
      <c r="F34" s="17" t="str">
        <f t="shared" si="13"/>
        <v>19.5%</v>
      </c>
      <c r="G34" s="17" t="str">
        <f t="shared" si="13"/>
        <v>18.8%</v>
      </c>
      <c r="H34" s="17" t="str">
        <f t="shared" si="13"/>
        <v>16.2%</v>
      </c>
    </row>
    <row r="35" ht="15.0" customHeight="1">
      <c r="A35" s="11" t="s">
        <v>22</v>
      </c>
      <c r="B35" s="17" t="s">
        <v>57</v>
      </c>
      <c r="C35" s="17" t="str">
        <f t="shared" ref="C35:H35" si="14">C12/((B16+C16)/2)</f>
        <v>16.2%</v>
      </c>
      <c r="D35" s="17" t="str">
        <f t="shared" si="14"/>
        <v>16.8%</v>
      </c>
      <c r="E35" s="17" t="str">
        <f t="shared" si="14"/>
        <v>15.0%</v>
      </c>
      <c r="F35" s="17" t="str">
        <f t="shared" si="14"/>
        <v>13.2%</v>
      </c>
      <c r="G35" s="17" t="str">
        <f t="shared" si="14"/>
        <v>12.8%</v>
      </c>
      <c r="H35" s="17" t="str">
        <f t="shared" si="14"/>
        <v>11.3%</v>
      </c>
    </row>
    <row r="36" ht="15.0" customHeight="1">
      <c r="A36" s="11" t="s">
        <v>23</v>
      </c>
      <c r="B36" s="17"/>
      <c r="C36" s="17" t="str">
        <f t="shared" ref="C36:H36" si="15">(C4-B4)/B4</f>
        <v>2.0%</v>
      </c>
      <c r="D36" s="17" t="str">
        <f t="shared" si="15"/>
        <v>9.9%</v>
      </c>
      <c r="E36" s="17" t="str">
        <f t="shared" si="15"/>
        <v>13.9%</v>
      </c>
      <c r="F36" s="17" t="str">
        <f t="shared" si="15"/>
        <v>5.9%</v>
      </c>
      <c r="G36" s="17" t="str">
        <f t="shared" si="15"/>
        <v>7.6%</v>
      </c>
      <c r="H36" s="17" t="str">
        <f t="shared" si="15"/>
        <v>1.3%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8" width="12.57"/>
    <col customWidth="1" min="9" max="11" width="8.57"/>
  </cols>
  <sheetData>
    <row r="1" ht="17.25" customHeight="1">
      <c r="A1" s="9" t="s">
        <v>58</v>
      </c>
    </row>
    <row r="2" ht="14.25" customHeight="1"/>
    <row r="3" ht="15.0" customHeight="1">
      <c r="A3" s="10" t="s">
        <v>33</v>
      </c>
      <c r="B3" s="10" t="s">
        <v>34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</row>
    <row r="4" ht="15.0" customHeight="1">
      <c r="A4" s="11" t="s">
        <v>35</v>
      </c>
      <c r="B4" s="12">
        <v>7334.0</v>
      </c>
      <c r="C4" s="12">
        <v>7315.0</v>
      </c>
      <c r="D4" s="12">
        <v>8048.0</v>
      </c>
      <c r="E4" s="12">
        <v>9512.0</v>
      </c>
      <c r="F4" s="12">
        <v>9764.0</v>
      </c>
      <c r="G4" s="12">
        <v>9653.0</v>
      </c>
      <c r="H4" s="12">
        <v>10831.0</v>
      </c>
    </row>
    <row r="5" ht="15.0" customHeight="1">
      <c r="A5" s="11" t="s">
        <v>36</v>
      </c>
      <c r="B5" s="12">
        <v>103.0</v>
      </c>
      <c r="C5" s="12">
        <v>124.0</v>
      </c>
      <c r="D5" s="12">
        <v>94.0</v>
      </c>
      <c r="E5" s="12">
        <v>98.0</v>
      </c>
      <c r="F5" s="12">
        <v>144.0</v>
      </c>
      <c r="G5" s="12">
        <v>142.0</v>
      </c>
      <c r="H5" s="12">
        <v>208.0</v>
      </c>
    </row>
    <row r="6" ht="15.0" customHeight="1">
      <c r="A6" s="11" t="s">
        <v>37</v>
      </c>
      <c r="B6" s="12">
        <v>3995.0</v>
      </c>
      <c r="C6" s="12">
        <v>3428.0</v>
      </c>
      <c r="D6" s="12">
        <v>3884.0</v>
      </c>
      <c r="E6" s="12">
        <v>5061.0</v>
      </c>
      <c r="F6" s="12">
        <v>4649.0</v>
      </c>
      <c r="G6" s="12">
        <v>3941.0</v>
      </c>
      <c r="H6" s="12">
        <v>4572.0</v>
      </c>
    </row>
    <row r="7" ht="15.0" customHeight="1">
      <c r="A7" s="11" t="s">
        <v>38</v>
      </c>
      <c r="B7" s="12">
        <v>145.0</v>
      </c>
      <c r="C7" s="12">
        <v>177.0</v>
      </c>
      <c r="D7" s="12">
        <v>339.0</v>
      </c>
      <c r="E7" s="12">
        <v>491.0</v>
      </c>
      <c r="F7" s="12">
        <v>541.0</v>
      </c>
      <c r="G7" s="12">
        <v>752.0</v>
      </c>
      <c r="H7" s="12">
        <v>960.0</v>
      </c>
    </row>
    <row r="8" ht="15.0" customHeight="1">
      <c r="A8" s="11" t="s">
        <v>39</v>
      </c>
      <c r="B8" s="12">
        <v>-123.0</v>
      </c>
      <c r="C8" s="12">
        <v>140.0</v>
      </c>
      <c r="D8" s="12">
        <v>47.0</v>
      </c>
      <c r="E8" s="12">
        <v>-116.0</v>
      </c>
      <c r="F8" s="12">
        <v>161.0</v>
      </c>
      <c r="G8" s="12">
        <v>55.0</v>
      </c>
      <c r="H8" s="12">
        <v>-144.0</v>
      </c>
    </row>
    <row r="9" ht="15.0" customHeight="1">
      <c r="A9" s="11" t="s">
        <v>40</v>
      </c>
      <c r="B9" s="12">
        <v>24.0</v>
      </c>
      <c r="C9" s="12">
        <v>50.0</v>
      </c>
      <c r="D9" s="12">
        <v>34.0</v>
      </c>
      <c r="E9" s="12">
        <v>39.0</v>
      </c>
      <c r="F9" s="12">
        <v>56.0</v>
      </c>
      <c r="G9" s="12">
        <v>73.0</v>
      </c>
      <c r="H9" s="12">
        <v>53.0</v>
      </c>
    </row>
    <row r="10" ht="15.0" customHeight="1">
      <c r="A10" s="11" t="s">
        <v>41</v>
      </c>
      <c r="B10" s="12">
        <v>96.0</v>
      </c>
      <c r="C10" s="12">
        <v>140.0</v>
      </c>
      <c r="D10" s="12">
        <v>139.0</v>
      </c>
      <c r="E10" s="12">
        <v>139.0</v>
      </c>
      <c r="F10" s="12">
        <v>155.0</v>
      </c>
      <c r="G10" s="12">
        <v>158.0</v>
      </c>
      <c r="H10" s="12">
        <v>178.0</v>
      </c>
    </row>
    <row r="11" ht="15.0" customHeight="1">
      <c r="A11" s="11" t="s">
        <v>42</v>
      </c>
      <c r="B11" s="12">
        <v>1263.0</v>
      </c>
      <c r="C11" s="12">
        <v>1403.0</v>
      </c>
      <c r="D11" s="12">
        <v>1510.0</v>
      </c>
      <c r="E11" s="12">
        <v>1601.0</v>
      </c>
      <c r="F11" s="12">
        <v>1743.0</v>
      </c>
      <c r="G11" s="12">
        <v>1937.0</v>
      </c>
      <c r="H11" s="12">
        <v>2116.0</v>
      </c>
    </row>
    <row r="12" ht="15.0" customHeight="1">
      <c r="A12" s="11" t="s">
        <v>43</v>
      </c>
      <c r="B12" s="12">
        <v>1118.0</v>
      </c>
      <c r="C12" s="12">
        <v>1021.0</v>
      </c>
      <c r="D12" s="12">
        <v>1172.0</v>
      </c>
      <c r="E12" s="12">
        <v>1225.0</v>
      </c>
      <c r="F12" s="12">
        <v>1302.0</v>
      </c>
      <c r="G12" s="12">
        <v>1481.0</v>
      </c>
      <c r="H12" s="12">
        <v>1629.0</v>
      </c>
    </row>
    <row r="13" ht="15.0" customHeight="1">
      <c r="A13" s="11" t="s">
        <v>44</v>
      </c>
      <c r="B13" s="12">
        <v>1411.0</v>
      </c>
      <c r="C13" s="12">
        <v>1380.0</v>
      </c>
      <c r="D13" s="12">
        <v>1126.0</v>
      </c>
      <c r="E13" s="12">
        <v>1412.0</v>
      </c>
      <c r="F13" s="12">
        <v>1225.0</v>
      </c>
      <c r="G13" s="12">
        <v>1336.0</v>
      </c>
      <c r="H13" s="12">
        <v>1235.0</v>
      </c>
    </row>
    <row r="14" ht="15.0" customHeight="1">
      <c r="A14" s="11" t="s">
        <v>45</v>
      </c>
      <c r="B14" s="12">
        <v>517.0</v>
      </c>
      <c r="C14" s="12">
        <v>539.0</v>
      </c>
      <c r="D14" s="12">
        <v>388.0</v>
      </c>
      <c r="E14" s="12">
        <v>652.0</v>
      </c>
      <c r="F14" s="12">
        <v>1015.0</v>
      </c>
      <c r="G14" s="12">
        <v>1069.0</v>
      </c>
      <c r="H14" s="12">
        <v>1271.0</v>
      </c>
    </row>
    <row r="15" ht="15.0" customHeight="1">
      <c r="A15" s="11" t="s">
        <v>46</v>
      </c>
      <c r="B15" s="12">
        <v>944.0</v>
      </c>
      <c r="C15" s="12">
        <v>978.0</v>
      </c>
      <c r="D15" s="12">
        <v>1134.0</v>
      </c>
      <c r="E15" s="12">
        <v>1344.0</v>
      </c>
      <c r="F15" s="12">
        <v>1452.0</v>
      </c>
      <c r="G15" s="12">
        <v>1581.0</v>
      </c>
      <c r="H15" s="12">
        <v>1363.0</v>
      </c>
    </row>
    <row r="16" ht="15.0" customHeight="1">
      <c r="A16" s="11" t="s">
        <v>47</v>
      </c>
      <c r="B16" s="12">
        <v>4742.0</v>
      </c>
      <c r="C16" s="12">
        <v>5002.0</v>
      </c>
      <c r="D16" s="12">
        <v>5510.0</v>
      </c>
      <c r="E16" s="12">
        <v>5786.0</v>
      </c>
      <c r="F16" s="12">
        <v>6946.0</v>
      </c>
      <c r="G16" s="12">
        <v>7421.0</v>
      </c>
      <c r="H16" s="12">
        <v>8338.0</v>
      </c>
    </row>
    <row r="17" ht="15.0" customHeight="1">
      <c r="A17" s="11" t="s">
        <v>48</v>
      </c>
      <c r="B17" s="12">
        <v>1686.0</v>
      </c>
      <c r="C17" s="12">
        <v>1785.0</v>
      </c>
      <c r="D17" s="12">
        <v>2013.0</v>
      </c>
      <c r="E17" s="12">
        <v>2153.0</v>
      </c>
      <c r="F17" s="12">
        <v>2429.0</v>
      </c>
      <c r="G17" s="12">
        <v>2444.0</v>
      </c>
      <c r="H17" s="12">
        <v>2461.0</v>
      </c>
    </row>
    <row r="18" ht="15.0" customHeight="1">
      <c r="A18" s="13" t="s">
        <v>49</v>
      </c>
      <c r="B18" s="13">
        <v>1263.0</v>
      </c>
      <c r="C18" s="13">
        <v>1374.0</v>
      </c>
      <c r="D18" s="13">
        <v>1523.0</v>
      </c>
      <c r="E18" s="13">
        <v>1601.0</v>
      </c>
      <c r="F18" s="13">
        <v>1743.0</v>
      </c>
      <c r="G18" s="13">
        <v>1937.0</v>
      </c>
      <c r="H18" s="13">
        <v>2116.0</v>
      </c>
    </row>
    <row r="19" ht="15.0" customHeight="1">
      <c r="A19" s="14" t="s">
        <v>50</v>
      </c>
    </row>
    <row r="20" ht="15.0" customHeight="1">
      <c r="A20" s="11" t="s">
        <v>51</v>
      </c>
      <c r="B20" s="15" t="str">
        <f t="shared" ref="B20:H20" si="1">B6+B7+B8</f>
        <v>4,017.00</v>
      </c>
      <c r="C20" s="15" t="str">
        <f t="shared" si="1"/>
        <v>3,745.00</v>
      </c>
      <c r="D20" s="15" t="str">
        <f t="shared" si="1"/>
        <v>4,270.00</v>
      </c>
      <c r="E20" s="15" t="str">
        <f t="shared" si="1"/>
        <v>5,436.00</v>
      </c>
      <c r="F20" s="15" t="str">
        <f t="shared" si="1"/>
        <v>5,351.00</v>
      </c>
      <c r="G20" s="15" t="str">
        <f t="shared" si="1"/>
        <v>4,748.00</v>
      </c>
      <c r="H20" s="15" t="str">
        <f t="shared" si="1"/>
        <v>5,388.00</v>
      </c>
    </row>
    <row r="21" ht="15.0" customHeight="1">
      <c r="A21" s="11" t="s">
        <v>52</v>
      </c>
      <c r="B21" s="15" t="str">
        <f t="shared" ref="B21:H21" si="2">B4-B20</f>
        <v>3,317.00</v>
      </c>
      <c r="C21" s="15" t="str">
        <f t="shared" si="2"/>
        <v>3,570.00</v>
      </c>
      <c r="D21" s="15" t="str">
        <f t="shared" si="2"/>
        <v>3,778.00</v>
      </c>
      <c r="E21" s="15" t="str">
        <f t="shared" si="2"/>
        <v>4,076.00</v>
      </c>
      <c r="F21" s="15" t="str">
        <f t="shared" si="2"/>
        <v>4,413.00</v>
      </c>
      <c r="G21" s="15" t="str">
        <f t="shared" si="2"/>
        <v>4,905.00</v>
      </c>
      <c r="H21" s="15" t="str">
        <f t="shared" si="2"/>
        <v>5,443.00</v>
      </c>
    </row>
    <row r="22" ht="15.0" customHeight="1">
      <c r="A22" s="11" t="s">
        <v>53</v>
      </c>
      <c r="B22" s="15" t="str">
        <f t="shared" ref="B22:H22" si="3">B11+B9+B10-B5</f>
        <v>1,280.00</v>
      </c>
      <c r="C22" s="15" t="str">
        <f t="shared" si="3"/>
        <v>1,469.00</v>
      </c>
      <c r="D22" s="15" t="str">
        <f t="shared" si="3"/>
        <v>1,589.00</v>
      </c>
      <c r="E22" s="15" t="str">
        <f t="shared" si="3"/>
        <v>1,681.00</v>
      </c>
      <c r="F22" s="15" t="str">
        <f t="shared" si="3"/>
        <v>1,810.00</v>
      </c>
      <c r="G22" s="15" t="str">
        <f t="shared" si="3"/>
        <v>2,026.00</v>
      </c>
      <c r="H22" s="15" t="str">
        <f t="shared" si="3"/>
        <v>2,139.00</v>
      </c>
    </row>
    <row r="23" ht="15.0" customHeight="1">
      <c r="A23" s="11" t="s">
        <v>54</v>
      </c>
      <c r="B23" s="15" t="str">
        <f t="shared" ref="B23:H23" si="4">B22-B10</f>
        <v>1,184.00</v>
      </c>
      <c r="C23" s="15" t="str">
        <f t="shared" si="4"/>
        <v>1,329.00</v>
      </c>
      <c r="D23" s="15" t="str">
        <f t="shared" si="4"/>
        <v>1,450.00</v>
      </c>
      <c r="E23" s="15" t="str">
        <f t="shared" si="4"/>
        <v>1,542.00</v>
      </c>
      <c r="F23" s="15" t="str">
        <f t="shared" si="4"/>
        <v>1,655.00</v>
      </c>
      <c r="G23" s="15" t="str">
        <f t="shared" si="4"/>
        <v>1,868.00</v>
      </c>
      <c r="H23" s="15" t="str">
        <f t="shared" si="4"/>
        <v>1,961.00</v>
      </c>
    </row>
    <row r="24" ht="15.0" customHeight="1">
      <c r="A24" s="11" t="s">
        <v>55</v>
      </c>
      <c r="B24" s="15" t="str">
        <f t="shared" ref="B24:H24" si="5">B16-B17</f>
        <v>3,056.00</v>
      </c>
      <c r="C24" s="15" t="str">
        <f t="shared" si="5"/>
        <v>3,217.00</v>
      </c>
      <c r="D24" s="15" t="str">
        <f t="shared" si="5"/>
        <v>3,497.00</v>
      </c>
      <c r="E24" s="15" t="str">
        <f t="shared" si="5"/>
        <v>3,633.00</v>
      </c>
      <c r="F24" s="15" t="str">
        <f t="shared" si="5"/>
        <v>4,517.00</v>
      </c>
      <c r="G24" s="15" t="str">
        <f t="shared" si="5"/>
        <v>4,977.00</v>
      </c>
      <c r="H24" s="15" t="str">
        <f t="shared" si="5"/>
        <v>5,877.00</v>
      </c>
    </row>
    <row r="25" ht="15.0" customHeight="1">
      <c r="B25" s="18"/>
      <c r="C25" s="18"/>
      <c r="D25" s="18"/>
      <c r="E25" s="18"/>
      <c r="F25" s="18"/>
      <c r="G25" s="18"/>
      <c r="H25" s="18"/>
    </row>
    <row r="26" ht="15.0" customHeight="1">
      <c r="A26" s="14" t="s">
        <v>56</v>
      </c>
      <c r="B26" s="18"/>
      <c r="C26" s="18"/>
      <c r="D26" s="18"/>
      <c r="E26" s="18"/>
      <c r="F26" s="18"/>
      <c r="G26" s="18"/>
      <c r="H26" s="18"/>
    </row>
    <row r="27" ht="15.0" customHeight="1">
      <c r="A27" s="11" t="s">
        <v>11</v>
      </c>
      <c r="B27" s="16" t="s">
        <v>57</v>
      </c>
      <c r="C27" s="16" t="str">
        <f t="shared" ref="C27:H27" si="6">((B13+C13)/2)/C20*365</f>
        <v>136.0</v>
      </c>
      <c r="D27" s="16" t="str">
        <f t="shared" si="6"/>
        <v>107.1</v>
      </c>
      <c r="E27" s="16" t="str">
        <f t="shared" si="6"/>
        <v>85.2</v>
      </c>
      <c r="F27" s="16" t="str">
        <f t="shared" si="6"/>
        <v>89.9</v>
      </c>
      <c r="G27" s="16" t="str">
        <f t="shared" si="6"/>
        <v>98.4</v>
      </c>
      <c r="H27" s="16" t="str">
        <f t="shared" si="6"/>
        <v>87.1</v>
      </c>
    </row>
    <row r="28" ht="15.0" customHeight="1">
      <c r="A28" s="11" t="s">
        <v>15</v>
      </c>
      <c r="B28" s="16" t="s">
        <v>57</v>
      </c>
      <c r="C28" s="16" t="str">
        <f t="shared" ref="C28:H28" si="7">((B14+C14)/2)/C4*365</f>
        <v>26.3</v>
      </c>
      <c r="D28" s="16" t="str">
        <f t="shared" si="7"/>
        <v>21.0</v>
      </c>
      <c r="E28" s="16" t="str">
        <f t="shared" si="7"/>
        <v>20.0</v>
      </c>
      <c r="F28" s="16" t="str">
        <f t="shared" si="7"/>
        <v>31.2</v>
      </c>
      <c r="G28" s="16" t="str">
        <f t="shared" si="7"/>
        <v>39.4</v>
      </c>
      <c r="H28" s="16" t="str">
        <f t="shared" si="7"/>
        <v>39.4</v>
      </c>
    </row>
    <row r="29" ht="15.0" customHeight="1">
      <c r="A29" s="11" t="s">
        <v>16</v>
      </c>
      <c r="B29" s="16" t="s">
        <v>57</v>
      </c>
      <c r="C29" s="16" t="str">
        <f t="shared" ref="C29:H29" si="8">((B15+C15)/2)/C20*365</f>
        <v>93.7</v>
      </c>
      <c r="D29" s="16" t="str">
        <f t="shared" si="8"/>
        <v>90.3</v>
      </c>
      <c r="E29" s="16" t="str">
        <f t="shared" si="8"/>
        <v>83.2</v>
      </c>
      <c r="F29" s="16" t="str">
        <f t="shared" si="8"/>
        <v>95.4</v>
      </c>
      <c r="G29" s="16" t="str">
        <f t="shared" si="8"/>
        <v>116.6</v>
      </c>
      <c r="H29" s="16" t="str">
        <f t="shared" si="8"/>
        <v>99.7</v>
      </c>
    </row>
    <row r="30" ht="15.0" customHeight="1">
      <c r="A30" s="11" t="s">
        <v>17</v>
      </c>
      <c r="B30" s="16" t="s">
        <v>57</v>
      </c>
      <c r="C30" s="16" t="str">
        <f t="shared" ref="C30:H30" si="9">C27+C28-C29</f>
        <v>68.7</v>
      </c>
      <c r="D30" s="16" t="str">
        <f t="shared" si="9"/>
        <v>37.9</v>
      </c>
      <c r="E30" s="16" t="str">
        <f t="shared" si="9"/>
        <v>22.0</v>
      </c>
      <c r="F30" s="16" t="str">
        <f t="shared" si="9"/>
        <v>25.7</v>
      </c>
      <c r="G30" s="16" t="str">
        <f t="shared" si="9"/>
        <v>21.3</v>
      </c>
      <c r="H30" s="16" t="str">
        <f t="shared" si="9"/>
        <v>26.8</v>
      </c>
    </row>
    <row r="31" ht="15.0" customHeight="1">
      <c r="A31" s="11" t="s">
        <v>18</v>
      </c>
      <c r="B31" s="17" t="str">
        <f t="shared" ref="B31:H31" si="10">B21/B4</f>
        <v>45.2%</v>
      </c>
      <c r="C31" s="17" t="str">
        <f t="shared" si="10"/>
        <v>48.8%</v>
      </c>
      <c r="D31" s="17" t="str">
        <f t="shared" si="10"/>
        <v>46.9%</v>
      </c>
      <c r="E31" s="17" t="str">
        <f t="shared" si="10"/>
        <v>42.9%</v>
      </c>
      <c r="F31" s="17" t="str">
        <f t="shared" si="10"/>
        <v>45.2%</v>
      </c>
      <c r="G31" s="17" t="str">
        <f t="shared" si="10"/>
        <v>50.8%</v>
      </c>
      <c r="H31" s="17" t="str">
        <f t="shared" si="10"/>
        <v>50.3%</v>
      </c>
    </row>
    <row r="32" ht="15.0" customHeight="1">
      <c r="A32" s="11" t="s">
        <v>19</v>
      </c>
      <c r="B32" s="17" t="str">
        <f t="shared" ref="B32:H32" si="11">B22/B4</f>
        <v>17.5%</v>
      </c>
      <c r="C32" s="17" t="str">
        <f t="shared" si="11"/>
        <v>20.1%</v>
      </c>
      <c r="D32" s="17" t="str">
        <f t="shared" si="11"/>
        <v>19.7%</v>
      </c>
      <c r="E32" s="17" t="str">
        <f t="shared" si="11"/>
        <v>17.7%</v>
      </c>
      <c r="F32" s="17" t="str">
        <f t="shared" si="11"/>
        <v>18.5%</v>
      </c>
      <c r="G32" s="17" t="str">
        <f t="shared" si="11"/>
        <v>21.0%</v>
      </c>
      <c r="H32" s="17" t="str">
        <f t="shared" si="11"/>
        <v>19.7%</v>
      </c>
    </row>
    <row r="33" ht="15.0" customHeight="1">
      <c r="A33" s="11" t="s">
        <v>20</v>
      </c>
      <c r="B33" s="17" t="str">
        <f t="shared" ref="B33:H33" si="12">B12/B4</f>
        <v>15.2%</v>
      </c>
      <c r="C33" s="17" t="str">
        <f t="shared" si="12"/>
        <v>14.0%</v>
      </c>
      <c r="D33" s="17" t="str">
        <f t="shared" si="12"/>
        <v>14.6%</v>
      </c>
      <c r="E33" s="17" t="str">
        <f t="shared" si="12"/>
        <v>12.9%</v>
      </c>
      <c r="F33" s="17" t="str">
        <f t="shared" si="12"/>
        <v>13.3%</v>
      </c>
      <c r="G33" s="17" t="str">
        <f t="shared" si="12"/>
        <v>15.3%</v>
      </c>
      <c r="H33" s="17" t="str">
        <f t="shared" si="12"/>
        <v>15.0%</v>
      </c>
    </row>
    <row r="34" ht="15.0" customHeight="1">
      <c r="A34" s="11" t="s">
        <v>21</v>
      </c>
      <c r="B34" s="17" t="s">
        <v>57</v>
      </c>
      <c r="C34" s="17" t="str">
        <f>(C23)/(((B16-B17)+C24)/2)</f>
        <v>42.4%</v>
      </c>
      <c r="D34" s="17" t="str">
        <f t="shared" ref="D34:H34" si="13">D23/((C24+D24)/2)</f>
        <v>43.2%</v>
      </c>
      <c r="E34" s="17" t="str">
        <f t="shared" si="13"/>
        <v>43.3%</v>
      </c>
      <c r="F34" s="17" t="str">
        <f t="shared" si="13"/>
        <v>40.6%</v>
      </c>
      <c r="G34" s="17" t="str">
        <f t="shared" si="13"/>
        <v>39.4%</v>
      </c>
      <c r="H34" s="17" t="str">
        <f t="shared" si="13"/>
        <v>36.1%</v>
      </c>
    </row>
    <row r="35" ht="15.0" customHeight="1">
      <c r="A35" s="11" t="s">
        <v>22</v>
      </c>
      <c r="B35" s="17" t="s">
        <v>57</v>
      </c>
      <c r="C35" s="17" t="str">
        <f t="shared" ref="C35:H35" si="14">C12/((B16+C16)/2)</f>
        <v>21.0%</v>
      </c>
      <c r="D35" s="17" t="str">
        <f t="shared" si="14"/>
        <v>22.3%</v>
      </c>
      <c r="E35" s="17" t="str">
        <f t="shared" si="14"/>
        <v>21.7%</v>
      </c>
      <c r="F35" s="17" t="str">
        <f t="shared" si="14"/>
        <v>20.5%</v>
      </c>
      <c r="G35" s="17" t="str">
        <f t="shared" si="14"/>
        <v>20.6%</v>
      </c>
      <c r="H35" s="17" t="str">
        <f t="shared" si="14"/>
        <v>20.7%</v>
      </c>
    </row>
    <row r="36" ht="15.0" customHeight="1">
      <c r="A36" s="11" t="s">
        <v>23</v>
      </c>
      <c r="B36" s="17"/>
      <c r="C36" s="17" t="str">
        <f t="shared" ref="C36:H36" si="15">(C4-B4)/B4</f>
        <v>-0.3%</v>
      </c>
      <c r="D36" s="17" t="str">
        <f t="shared" si="15"/>
        <v>10.0%</v>
      </c>
      <c r="E36" s="17" t="str">
        <f t="shared" si="15"/>
        <v>18.2%</v>
      </c>
      <c r="F36" s="17" t="str">
        <f t="shared" si="15"/>
        <v>2.6%</v>
      </c>
      <c r="G36" s="17" t="str">
        <f t="shared" si="15"/>
        <v>-1.1%</v>
      </c>
      <c r="H36" s="17" t="str">
        <f t="shared" si="15"/>
        <v>12.2%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2.57"/>
    <col customWidth="1" min="3" max="3" width="12.43"/>
    <col customWidth="1" min="4" max="8" width="12.57"/>
    <col customWidth="1" min="9" max="11" width="8.57"/>
  </cols>
  <sheetData>
    <row r="1" ht="17.25" customHeight="1">
      <c r="A1" s="9" t="s">
        <v>59</v>
      </c>
    </row>
    <row r="2" ht="14.25" customHeight="1"/>
    <row r="3" ht="15.0" customHeight="1">
      <c r="A3" s="10" t="s">
        <v>33</v>
      </c>
      <c r="B3" s="10" t="s">
        <v>34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</row>
    <row r="4" ht="15.0" customHeight="1">
      <c r="A4" s="11" t="s">
        <v>35</v>
      </c>
      <c r="B4" s="12">
        <v>39310.0</v>
      </c>
      <c r="C4" s="12">
        <v>39783.0</v>
      </c>
      <c r="D4" s="12">
        <v>47028.0</v>
      </c>
      <c r="E4" s="12">
        <v>52446.0</v>
      </c>
      <c r="F4" s="12">
        <v>60580.0</v>
      </c>
      <c r="G4" s="12">
        <v>61896.0</v>
      </c>
      <c r="H4" s="12">
        <v>63121.0</v>
      </c>
    </row>
    <row r="5" ht="15.0" customHeight="1">
      <c r="A5" s="11" t="s">
        <v>36</v>
      </c>
      <c r="B5" s="12">
        <v>550.0</v>
      </c>
      <c r="C5" s="12">
        <v>632.0</v>
      </c>
      <c r="D5" s="12">
        <v>410.0</v>
      </c>
      <c r="E5" s="12">
        <v>258.0</v>
      </c>
      <c r="F5" s="12">
        <v>512.0</v>
      </c>
      <c r="G5" s="12">
        <v>811.0</v>
      </c>
      <c r="H5" s="12">
        <v>1017.0</v>
      </c>
    </row>
    <row r="6" ht="15.0" customHeight="1">
      <c r="A6" s="11" t="s">
        <v>37</v>
      </c>
      <c r="B6" s="12">
        <v>13707.0</v>
      </c>
      <c r="C6" s="12">
        <v>11976.0</v>
      </c>
      <c r="D6" s="12">
        <v>15432.0</v>
      </c>
      <c r="E6" s="12">
        <v>16446.0</v>
      </c>
      <c r="F6" s="12">
        <v>20212.0</v>
      </c>
      <c r="G6" s="12">
        <v>19257.0</v>
      </c>
      <c r="H6" s="12">
        <v>19458.0</v>
      </c>
    </row>
    <row r="7" ht="15.0" customHeight="1">
      <c r="A7" s="11" t="s">
        <v>38</v>
      </c>
      <c r="B7" s="12">
        <v>4755.0</v>
      </c>
      <c r="C7" s="12">
        <v>6391.0</v>
      </c>
      <c r="D7" s="12">
        <v>7121.0</v>
      </c>
      <c r="E7" s="12">
        <v>9311.0</v>
      </c>
      <c r="F7" s="12">
        <v>11579.0</v>
      </c>
      <c r="G7" s="12">
        <v>10514.0</v>
      </c>
      <c r="H7" s="12">
        <v>11273.0</v>
      </c>
    </row>
    <row r="8" ht="15.0" customHeight="1">
      <c r="A8" s="11" t="s">
        <v>39</v>
      </c>
      <c r="B8" s="12">
        <v>12.0</v>
      </c>
      <c r="C8" s="12">
        <v>-108.0</v>
      </c>
      <c r="D8" s="12">
        <v>-405.0</v>
      </c>
      <c r="E8" s="12">
        <v>-22.0</v>
      </c>
      <c r="F8" s="12">
        <v>-75.0</v>
      </c>
      <c r="G8" s="12">
        <v>-11.0</v>
      </c>
      <c r="H8" s="12">
        <v>-153.0</v>
      </c>
    </row>
    <row r="9" ht="15.0" customHeight="1">
      <c r="A9" s="11" t="s">
        <v>40</v>
      </c>
      <c r="B9" s="12">
        <v>33.0</v>
      </c>
      <c r="C9" s="12">
        <v>118.0</v>
      </c>
      <c r="D9" s="12">
        <v>117.0</v>
      </c>
      <c r="E9" s="12">
        <v>106.0</v>
      </c>
      <c r="F9" s="12">
        <v>114.0</v>
      </c>
      <c r="G9" s="12">
        <v>334.0</v>
      </c>
      <c r="H9" s="12">
        <v>395.0</v>
      </c>
    </row>
    <row r="10" ht="15.0" customHeight="1">
      <c r="A10" s="11" t="s">
        <v>41</v>
      </c>
      <c r="B10" s="12">
        <v>565.0</v>
      </c>
      <c r="C10" s="12">
        <v>1002.0</v>
      </c>
      <c r="D10" s="12">
        <v>1074.0</v>
      </c>
      <c r="E10" s="12">
        <v>1091.0</v>
      </c>
      <c r="F10" s="12">
        <v>1137.0</v>
      </c>
      <c r="G10" s="12">
        <v>1216.0</v>
      </c>
      <c r="H10" s="12">
        <v>1355.0</v>
      </c>
    </row>
    <row r="11" ht="15.0" customHeight="1">
      <c r="A11" s="11" t="s">
        <v>42</v>
      </c>
      <c r="B11" s="12">
        <v>8832.0</v>
      </c>
      <c r="C11" s="12">
        <v>9373.0</v>
      </c>
      <c r="D11" s="12">
        <v>10845.0</v>
      </c>
      <c r="E11" s="12">
        <v>11918.0</v>
      </c>
      <c r="F11" s="12">
        <v>13409.0</v>
      </c>
      <c r="G11" s="12">
        <v>13920.0</v>
      </c>
      <c r="H11" s="12">
        <v>14110.0</v>
      </c>
    </row>
    <row r="12" ht="15.0" customHeight="1">
      <c r="A12" s="11" t="s">
        <v>43</v>
      </c>
      <c r="B12" s="12">
        <v>6054.0</v>
      </c>
      <c r="C12" s="12">
        <v>6748.0</v>
      </c>
      <c r="D12" s="12">
        <v>7995.0</v>
      </c>
      <c r="E12" s="12">
        <v>8879.0</v>
      </c>
      <c r="F12" s="12">
        <v>10120.0</v>
      </c>
      <c r="G12" s="12">
        <v>10277.0</v>
      </c>
      <c r="H12" s="12">
        <v>10649.0</v>
      </c>
    </row>
    <row r="13" ht="15.0" customHeight="1">
      <c r="A13" s="11" t="s">
        <v>44</v>
      </c>
      <c r="B13" s="12">
        <v>2574.0</v>
      </c>
      <c r="C13" s="12">
        <v>2767.0</v>
      </c>
      <c r="D13" s="12">
        <v>3579.0</v>
      </c>
      <c r="E13" s="12">
        <v>4096.0</v>
      </c>
      <c r="F13" s="12">
        <v>4251.0</v>
      </c>
      <c r="G13" s="12">
        <v>4022.0</v>
      </c>
      <c r="H13" s="12">
        <v>4415.0</v>
      </c>
    </row>
    <row r="14" ht="15.0" customHeight="1">
      <c r="A14" s="11" t="s">
        <v>45</v>
      </c>
      <c r="B14" s="12">
        <v>1816.0</v>
      </c>
      <c r="C14" s="12">
        <v>1149.0</v>
      </c>
      <c r="D14" s="12">
        <v>1758.0</v>
      </c>
      <c r="E14" s="12">
        <v>2236.0</v>
      </c>
      <c r="F14" s="12">
        <v>3079.0</v>
      </c>
      <c r="G14" s="12">
        <v>2997.0</v>
      </c>
      <c r="H14" s="12">
        <v>3819.0</v>
      </c>
    </row>
    <row r="15" ht="15.0" customHeight="1">
      <c r="A15" s="11" t="s">
        <v>46</v>
      </c>
      <c r="B15" s="12">
        <v>7206.0</v>
      </c>
      <c r="C15" s="12">
        <v>7535.0</v>
      </c>
      <c r="D15" s="12">
        <v>8802.0</v>
      </c>
      <c r="E15" s="12">
        <v>9068.0</v>
      </c>
      <c r="F15" s="12">
        <v>9574.0</v>
      </c>
      <c r="G15" s="12">
        <v>10486.0</v>
      </c>
      <c r="H15" s="12">
        <v>11315.0</v>
      </c>
    </row>
    <row r="16" ht="15.0" customHeight="1">
      <c r="A16" s="11" t="s">
        <v>47</v>
      </c>
      <c r="B16" s="12">
        <v>18629.0</v>
      </c>
      <c r="C16" s="12">
        <v>20153.0</v>
      </c>
      <c r="D16" s="12">
        <v>68757.0</v>
      </c>
      <c r="E16" s="12">
        <v>70517.0</v>
      </c>
      <c r="F16" s="12">
        <v>73087.0</v>
      </c>
      <c r="G16" s="12">
        <v>78499.0</v>
      </c>
      <c r="H16" s="12">
        <v>79880.0</v>
      </c>
    </row>
    <row r="17" ht="15.0" customHeight="1">
      <c r="A17" s="11" t="s">
        <v>48</v>
      </c>
      <c r="B17" s="12">
        <v>8667.0</v>
      </c>
      <c r="C17" s="12">
        <v>9317.0</v>
      </c>
      <c r="D17" s="12">
        <v>11103.0</v>
      </c>
      <c r="E17" s="12">
        <v>11280.0</v>
      </c>
      <c r="F17" s="12">
        <v>12028.0</v>
      </c>
      <c r="G17" s="12">
        <v>12876.0</v>
      </c>
      <c r="H17" s="12">
        <v>16537.0</v>
      </c>
    </row>
    <row r="18" ht="15.0" customHeight="1">
      <c r="A18" s="13" t="s">
        <v>49</v>
      </c>
      <c r="B18" s="13">
        <v>8604.0</v>
      </c>
      <c r="C18" s="13">
        <v>9173.0</v>
      </c>
      <c r="D18" s="13">
        <v>10606.0</v>
      </c>
      <c r="E18" s="13">
        <v>11874.0</v>
      </c>
      <c r="F18" s="13">
        <v>13345.0</v>
      </c>
      <c r="G18" s="13">
        <v>13926.0</v>
      </c>
      <c r="H18" s="13">
        <v>14415.0</v>
      </c>
    </row>
    <row r="19" ht="15.0" customHeight="1">
      <c r="A19" s="14" t="s">
        <v>50</v>
      </c>
    </row>
    <row r="20" ht="15.0" customHeight="1">
      <c r="A20" s="11" t="s">
        <v>51</v>
      </c>
      <c r="B20" s="15" t="str">
        <f t="shared" ref="B20:H20" si="1">B6+B7+B8</f>
        <v>18,474.00</v>
      </c>
      <c r="C20" s="15" t="str">
        <f t="shared" si="1"/>
        <v>18,259.00</v>
      </c>
      <c r="D20" s="15" t="str">
        <f t="shared" si="1"/>
        <v>22,148.00</v>
      </c>
      <c r="E20" s="15" t="str">
        <f t="shared" si="1"/>
        <v>25,735.00</v>
      </c>
      <c r="F20" s="15" t="str">
        <f t="shared" si="1"/>
        <v>31,716.00</v>
      </c>
      <c r="G20" s="15" t="str">
        <f t="shared" si="1"/>
        <v>29,760.00</v>
      </c>
      <c r="H20" s="15" t="str">
        <f t="shared" si="1"/>
        <v>30,578.00</v>
      </c>
    </row>
    <row r="21" ht="15.0" customHeight="1">
      <c r="A21" s="11" t="s">
        <v>52</v>
      </c>
      <c r="B21" s="15" t="str">
        <f t="shared" ref="B21:H21" si="2">B4-B20</f>
        <v>20,836.00</v>
      </c>
      <c r="C21" s="15" t="str">
        <f t="shared" si="2"/>
        <v>21,524.00</v>
      </c>
      <c r="D21" s="15" t="str">
        <f t="shared" si="2"/>
        <v>24,880.00</v>
      </c>
      <c r="E21" s="15" t="str">
        <f t="shared" si="2"/>
        <v>26,711.00</v>
      </c>
      <c r="F21" s="15" t="str">
        <f t="shared" si="2"/>
        <v>28,864.00</v>
      </c>
      <c r="G21" s="15" t="str">
        <f t="shared" si="2"/>
        <v>32,136.00</v>
      </c>
      <c r="H21" s="15" t="str">
        <f t="shared" si="2"/>
        <v>32,543.00</v>
      </c>
    </row>
    <row r="22" ht="15.0" customHeight="1">
      <c r="A22" s="11" t="s">
        <v>53</v>
      </c>
      <c r="B22" s="15" t="str">
        <f t="shared" ref="B22:H22" si="3">B11+B9+B10-B5</f>
        <v>8,880.00</v>
      </c>
      <c r="C22" s="15" t="str">
        <f t="shared" si="3"/>
        <v>9,861.00</v>
      </c>
      <c r="D22" s="15" t="str">
        <f t="shared" si="3"/>
        <v>11,626.00</v>
      </c>
      <c r="E22" s="15" t="str">
        <f t="shared" si="3"/>
        <v>12,857.00</v>
      </c>
      <c r="F22" s="15" t="str">
        <f t="shared" si="3"/>
        <v>14,148.00</v>
      </c>
      <c r="G22" s="15" t="str">
        <f t="shared" si="3"/>
        <v>14,659.00</v>
      </c>
      <c r="H22" s="15" t="str">
        <f t="shared" si="3"/>
        <v>14,843.00</v>
      </c>
    </row>
    <row r="23" ht="15.0" customHeight="1">
      <c r="A23" s="11" t="s">
        <v>54</v>
      </c>
      <c r="B23" s="15" t="str">
        <f t="shared" ref="B23:H23" si="4">B22-B10</f>
        <v>8,315.00</v>
      </c>
      <c r="C23" s="15" t="str">
        <f t="shared" si="4"/>
        <v>8,859.00</v>
      </c>
      <c r="D23" s="15" t="str">
        <f t="shared" si="4"/>
        <v>10,552.00</v>
      </c>
      <c r="E23" s="15" t="str">
        <f t="shared" si="4"/>
        <v>11,766.00</v>
      </c>
      <c r="F23" s="15" t="str">
        <f t="shared" si="4"/>
        <v>13,011.00</v>
      </c>
      <c r="G23" s="15" t="str">
        <f t="shared" si="4"/>
        <v>13,443.00</v>
      </c>
      <c r="H23" s="15" t="str">
        <f t="shared" si="4"/>
        <v>13,488.00</v>
      </c>
    </row>
    <row r="24" ht="15.0" customHeight="1">
      <c r="A24" s="11" t="s">
        <v>55</v>
      </c>
      <c r="B24" s="15" t="str">
        <f t="shared" ref="B24:H24" si="5">B16-B17</f>
        <v>9,962.00</v>
      </c>
      <c r="C24" s="15" t="str">
        <f t="shared" si="5"/>
        <v>10,836.00</v>
      </c>
      <c r="D24" s="15" t="str">
        <f t="shared" si="5"/>
        <v>57,654.00</v>
      </c>
      <c r="E24" s="15" t="str">
        <f t="shared" si="5"/>
        <v>59,237.00</v>
      </c>
      <c r="F24" s="15" t="str">
        <f t="shared" si="5"/>
        <v>61,059.00</v>
      </c>
      <c r="G24" s="15" t="str">
        <f t="shared" si="5"/>
        <v>65,623.00</v>
      </c>
      <c r="H24" s="15" t="str">
        <f t="shared" si="5"/>
        <v>63,343.00</v>
      </c>
    </row>
    <row r="25" ht="14.25" customHeight="1"/>
    <row r="26" ht="15.0" customHeight="1">
      <c r="A26" s="14" t="s">
        <v>56</v>
      </c>
    </row>
    <row r="27" ht="15.0" customHeight="1">
      <c r="A27" s="11" t="s">
        <v>11</v>
      </c>
      <c r="B27" s="16" t="s">
        <v>57</v>
      </c>
      <c r="C27" s="16" t="str">
        <f t="shared" ref="C27:H27" si="6">((B13+C13)/2)/C20*365</f>
        <v>53.4</v>
      </c>
      <c r="D27" s="16" t="str">
        <f t="shared" si="6"/>
        <v>52.3</v>
      </c>
      <c r="E27" s="16" t="str">
        <f t="shared" si="6"/>
        <v>54.4</v>
      </c>
      <c r="F27" s="16" t="str">
        <f t="shared" si="6"/>
        <v>48.0</v>
      </c>
      <c r="G27" s="16" t="str">
        <f t="shared" si="6"/>
        <v>50.7</v>
      </c>
      <c r="H27" s="16" t="str">
        <f t="shared" si="6"/>
        <v>50.4</v>
      </c>
    </row>
    <row r="28" ht="15.0" customHeight="1">
      <c r="A28" s="11" t="s">
        <v>15</v>
      </c>
      <c r="B28" s="16" t="s">
        <v>57</v>
      </c>
      <c r="C28" s="16" t="str">
        <f t="shared" ref="C28:H28" si="7">((B14+C14)/2)/C4*365</f>
        <v>13.6</v>
      </c>
      <c r="D28" s="16" t="str">
        <f t="shared" si="7"/>
        <v>11.3</v>
      </c>
      <c r="E28" s="16" t="str">
        <f t="shared" si="7"/>
        <v>13.9</v>
      </c>
      <c r="F28" s="16" t="str">
        <f t="shared" si="7"/>
        <v>16.0</v>
      </c>
      <c r="G28" s="16" t="str">
        <f t="shared" si="7"/>
        <v>17.9</v>
      </c>
      <c r="H28" s="16" t="str">
        <f t="shared" si="7"/>
        <v>19.7</v>
      </c>
    </row>
    <row r="29" ht="15.0" customHeight="1">
      <c r="A29" s="11" t="s">
        <v>16</v>
      </c>
      <c r="B29" s="16" t="s">
        <v>57</v>
      </c>
      <c r="C29" s="16" t="str">
        <f t="shared" ref="C29:H29" si="8">((B15+C15)/2)/C20*365</f>
        <v>147.3</v>
      </c>
      <c r="D29" s="16" t="str">
        <f t="shared" si="8"/>
        <v>134.6</v>
      </c>
      <c r="E29" s="16" t="str">
        <f t="shared" si="8"/>
        <v>126.7</v>
      </c>
      <c r="F29" s="16" t="str">
        <f t="shared" si="8"/>
        <v>107.3</v>
      </c>
      <c r="G29" s="16" t="str">
        <f t="shared" si="8"/>
        <v>123.0</v>
      </c>
      <c r="H29" s="16" t="str">
        <f t="shared" si="8"/>
        <v>130.1</v>
      </c>
    </row>
    <row r="30" ht="15.0" customHeight="1">
      <c r="A30" s="11" t="s">
        <v>17</v>
      </c>
      <c r="B30" s="16" t="s">
        <v>57</v>
      </c>
      <c r="C30" s="16" t="str">
        <f t="shared" ref="C30:H30" si="9">C27+C28-C29</f>
        <v>-80.4</v>
      </c>
      <c r="D30" s="16" t="str">
        <f t="shared" si="9"/>
        <v>-71.0</v>
      </c>
      <c r="E30" s="16" t="str">
        <f t="shared" si="9"/>
        <v>-58.4</v>
      </c>
      <c r="F30" s="16" t="str">
        <f t="shared" si="9"/>
        <v>-43.2</v>
      </c>
      <c r="G30" s="16" t="str">
        <f t="shared" si="9"/>
        <v>-54.4</v>
      </c>
      <c r="H30" s="16" t="str">
        <f t="shared" si="9"/>
        <v>-60.1</v>
      </c>
    </row>
    <row r="31" ht="15.0" customHeight="1">
      <c r="A31" s="11" t="s">
        <v>18</v>
      </c>
      <c r="B31" s="17" t="str">
        <f t="shared" ref="B31:H31" si="10">B21/B4</f>
        <v>53.0%</v>
      </c>
      <c r="C31" s="17" t="str">
        <f t="shared" si="10"/>
        <v>54.1%</v>
      </c>
      <c r="D31" s="17" t="str">
        <f t="shared" si="10"/>
        <v>52.9%</v>
      </c>
      <c r="E31" s="17" t="str">
        <f t="shared" si="10"/>
        <v>50.9%</v>
      </c>
      <c r="F31" s="17" t="str">
        <f t="shared" si="10"/>
        <v>47.6%</v>
      </c>
      <c r="G31" s="17" t="str">
        <f t="shared" si="10"/>
        <v>51.9%</v>
      </c>
      <c r="H31" s="17" t="str">
        <f t="shared" si="10"/>
        <v>51.6%</v>
      </c>
    </row>
    <row r="32" ht="15.0" customHeight="1">
      <c r="A32" s="11" t="s">
        <v>19</v>
      </c>
      <c r="B32" s="17" t="str">
        <f t="shared" ref="B32:H32" si="11">B22/B4</f>
        <v>22.6%</v>
      </c>
      <c r="C32" s="17" t="str">
        <f t="shared" si="11"/>
        <v>24.8%</v>
      </c>
      <c r="D32" s="17" t="str">
        <f t="shared" si="11"/>
        <v>24.7%</v>
      </c>
      <c r="E32" s="17" t="str">
        <f t="shared" si="11"/>
        <v>24.5%</v>
      </c>
      <c r="F32" s="17" t="str">
        <f t="shared" si="11"/>
        <v>23.4%</v>
      </c>
      <c r="G32" s="17" t="str">
        <f t="shared" si="11"/>
        <v>23.7%</v>
      </c>
      <c r="H32" s="17" t="str">
        <f t="shared" si="11"/>
        <v>23.5%</v>
      </c>
    </row>
    <row r="33" ht="15.0" customHeight="1">
      <c r="A33" s="11" t="s">
        <v>20</v>
      </c>
      <c r="B33" s="17" t="str">
        <f t="shared" ref="B33:H33" si="12">B12/B4</f>
        <v>15.4%</v>
      </c>
      <c r="C33" s="17" t="str">
        <f t="shared" si="12"/>
        <v>17.0%</v>
      </c>
      <c r="D33" s="17" t="str">
        <f t="shared" si="12"/>
        <v>17.0%</v>
      </c>
      <c r="E33" s="17" t="str">
        <f t="shared" si="12"/>
        <v>16.9%</v>
      </c>
      <c r="F33" s="17" t="str">
        <f t="shared" si="12"/>
        <v>16.7%</v>
      </c>
      <c r="G33" s="17" t="str">
        <f t="shared" si="12"/>
        <v>16.6%</v>
      </c>
      <c r="H33" s="17" t="str">
        <f t="shared" si="12"/>
        <v>16.9%</v>
      </c>
    </row>
    <row r="34" ht="15.0" customHeight="1">
      <c r="A34" s="11" t="s">
        <v>21</v>
      </c>
      <c r="B34" s="17" t="s">
        <v>57</v>
      </c>
      <c r="C34" s="17" t="str">
        <f>(C23)/(((B16-B17)+C24)/2)</f>
        <v>85.2%</v>
      </c>
      <c r="D34" s="17" t="str">
        <f t="shared" ref="D34:H34" si="13">D23/((C24+D24)/2)</f>
        <v>30.8%</v>
      </c>
      <c r="E34" s="17" t="str">
        <f t="shared" si="13"/>
        <v>20.1%</v>
      </c>
      <c r="F34" s="17" t="str">
        <f t="shared" si="13"/>
        <v>21.6%</v>
      </c>
      <c r="G34" s="17" t="str">
        <f t="shared" si="13"/>
        <v>21.2%</v>
      </c>
      <c r="H34" s="17" t="str">
        <f t="shared" si="13"/>
        <v>20.9%</v>
      </c>
    </row>
    <row r="35" ht="15.0" customHeight="1">
      <c r="A35" s="11" t="s">
        <v>22</v>
      </c>
      <c r="B35" s="17" t="s">
        <v>57</v>
      </c>
      <c r="C35" s="17" t="str">
        <f t="shared" ref="C35:H35" si="14">C12/((B16+C16)/2)</f>
        <v>34.8%</v>
      </c>
      <c r="D35" s="17" t="str">
        <f t="shared" si="14"/>
        <v>18.0%</v>
      </c>
      <c r="E35" s="17" t="str">
        <f t="shared" si="14"/>
        <v>12.8%</v>
      </c>
      <c r="F35" s="17" t="str">
        <f t="shared" si="14"/>
        <v>14.1%</v>
      </c>
      <c r="G35" s="17" t="str">
        <f t="shared" si="14"/>
        <v>13.6%</v>
      </c>
      <c r="H35" s="17" t="str">
        <f t="shared" si="14"/>
        <v>13.4%</v>
      </c>
    </row>
    <row r="36" ht="15.0" customHeight="1">
      <c r="A36" s="11" t="s">
        <v>23</v>
      </c>
      <c r="B36" s="17"/>
      <c r="C36" s="17" t="str">
        <f t="shared" ref="C36:H36" si="15">(C4-B4)/B4</f>
        <v>1.2%</v>
      </c>
      <c r="D36" s="17" t="str">
        <f t="shared" si="15"/>
        <v>18.2%</v>
      </c>
      <c r="E36" s="17" t="str">
        <f t="shared" si="15"/>
        <v>11.5%</v>
      </c>
      <c r="F36" s="17" t="str">
        <f t="shared" si="15"/>
        <v>15.5%</v>
      </c>
      <c r="G36" s="17" t="str">
        <f t="shared" si="15"/>
        <v>2.2%</v>
      </c>
      <c r="H36" s="17" t="str">
        <f t="shared" si="15"/>
        <v>2.0%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8.57"/>
  </cols>
  <sheetData>
    <row r="1" ht="14.25" customHeight="1">
      <c r="A1" s="19" t="s">
        <v>60</v>
      </c>
    </row>
    <row r="2" ht="14.25" customHeight="1">
      <c r="A2" s="20" t="s">
        <v>61</v>
      </c>
    </row>
    <row r="3" ht="14.25" customHeight="1"/>
    <row r="4" ht="14.25" customHeight="1">
      <c r="A4" s="21" t="s">
        <v>62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>
      <c r="A27" s="21" t="s">
        <v>63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>
      <c r="A61" s="21" t="s">
        <v>64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>
      <c r="A83" s="21" t="s">
        <v>65</v>
      </c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>
      <c r="A110" s="21" t="s">
        <v>66</v>
      </c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>
      <c r="A146" s="21" t="s">
        <v>67</v>
      </c>
    </row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</sheetData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Comparison</vt:lpstr>
      <vt:lpstr>Dabur</vt:lpstr>
      <vt:lpstr>Marico</vt:lpstr>
      <vt:lpstr>HUL</vt:lpstr>
      <vt:lpstr>Charts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2026-08-20T06:33:08Z</dcterms:created>
  <dc:creator>openpyxl</dc:creator>
  <dc:description/>
  <dc:language>en-US</dc:language>
  <cp:lastModifiedBy>Geetika Kapoor</cp:lastModifiedBy>
  <dcterms:modified xsi:type="dcterms:W3CDTF">2026-08-23T18:44:51Z</dcterms:modified>
  <cp:revision>3</cp:revision>
  <dc:subject/>
  <dc:title/>
</cp:coreProperties>
</file>